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560"/>
  </bookViews>
  <sheets>
    <sheet name="报水情科" sheetId="1" r:id="rId1"/>
    <sheet name="报勘测处" sheetId="5" r:id="rId2"/>
    <sheet name="站上报送原始1" sheetId="2" r:id="rId3"/>
    <sheet name="恒口原始2" sheetId="3" r:id="rId4"/>
    <sheet name="旬总流量计算" sheetId="4" r:id="rId5"/>
    <sheet name="对比检查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<sst xmlns="http://schemas.openxmlformats.org/spreadsheetml/2006/main" count="285" uniqueCount="140">
  <si>
    <t xml:space="preserve">                   安 康 水 文 局 土 壤 墒 情 监 测 数 据 表</t>
  </si>
  <si>
    <r>
      <t xml:space="preserve">    填表日期： 2026年5月11日 8时30分                                                            采 样 天 气：晴</t>
    </r>
    <r>
      <rPr>
        <sz val="12"/>
        <color rgb="FFFF0000"/>
        <rFont val="宋体"/>
        <charset val="134"/>
      </rPr>
      <t xml:space="preserve">天 </t>
    </r>
    <r>
      <rPr>
        <sz val="12"/>
        <rFont val="宋体"/>
        <charset val="134"/>
      </rPr>
      <t xml:space="preserve">
</t>
    </r>
  </si>
  <si>
    <t>站名编码</t>
  </si>
  <si>
    <t>站 名</t>
  </si>
  <si>
    <t xml:space="preserve"> 土壤垂线重量含水率（%）</t>
  </si>
  <si>
    <t>垂线平均重量含水率（%）</t>
  </si>
  <si>
    <t>田间持水量（%）</t>
  </si>
  <si>
    <t>土壤湿度（%）</t>
  </si>
  <si>
    <t>作物种 类</t>
  </si>
  <si>
    <t>作物生   长期</t>
  </si>
  <si>
    <r>
      <rPr>
        <sz val="14"/>
        <rFont val="宋体"/>
        <charset val="134"/>
      </rPr>
      <t>10cm</t>
    </r>
    <r>
      <rPr>
        <sz val="12"/>
        <rFont val="宋体"/>
        <charset val="134"/>
      </rPr>
      <t>(%)</t>
    </r>
  </si>
  <si>
    <r>
      <rPr>
        <sz val="14"/>
        <rFont val="宋体"/>
        <charset val="134"/>
      </rPr>
      <t xml:space="preserve">20cm </t>
    </r>
    <r>
      <rPr>
        <sz val="12"/>
        <rFont val="宋体"/>
        <charset val="134"/>
      </rPr>
      <t>(%)</t>
    </r>
  </si>
  <si>
    <r>
      <rPr>
        <sz val="14"/>
        <rFont val="宋体"/>
        <charset val="134"/>
      </rPr>
      <t>40cm</t>
    </r>
    <r>
      <rPr>
        <sz val="12"/>
        <rFont val="宋体"/>
        <charset val="134"/>
      </rPr>
      <t>(%)</t>
    </r>
  </si>
  <si>
    <t>618A0900</t>
  </si>
  <si>
    <t>石   泉</t>
  </si>
  <si>
    <t>蔬菜</t>
  </si>
  <si>
    <t>618A9800</t>
  </si>
  <si>
    <t>马   池</t>
  </si>
  <si>
    <t>618A1000</t>
  </si>
  <si>
    <t>长枪铺</t>
  </si>
  <si>
    <t>618A1200</t>
  </si>
  <si>
    <t>恒   口</t>
  </si>
  <si>
    <t>备       注</t>
  </si>
  <si>
    <r>
      <rPr>
        <b/>
        <sz val="12"/>
        <color rgb="FF000000"/>
        <rFont val="黑体"/>
        <charset val="134"/>
      </rPr>
      <t xml:space="preserve">     </t>
    </r>
    <r>
      <rPr>
        <b/>
        <sz val="12"/>
        <color indexed="8"/>
        <rFont val="宋体"/>
        <charset val="134"/>
      </rPr>
      <t>附表</t>
    </r>
    <r>
      <rPr>
        <b/>
        <sz val="12"/>
        <color rgb="FF000000"/>
        <rFont val="黑体"/>
        <charset val="134"/>
      </rPr>
      <t xml:space="preserve">4 </t>
    </r>
    <r>
      <rPr>
        <b/>
        <sz val="20"/>
        <color indexed="8"/>
        <rFont val="黑体"/>
        <charset val="134"/>
      </rPr>
      <t xml:space="preserve">               2025年安康水文局土壤墒情监测报表</t>
    </r>
  </si>
  <si>
    <t>站   名</t>
  </si>
  <si>
    <t>测 次</t>
  </si>
  <si>
    <t>监测时间</t>
  </si>
  <si>
    <t>监测方法及监测深度土壤含水量</t>
  </si>
  <si>
    <r>
      <rPr>
        <sz val="12"/>
        <color indexed="8"/>
        <rFont val="宋体"/>
        <charset val="134"/>
      </rPr>
      <t xml:space="preserve">田       间  持  水  量  </t>
    </r>
    <r>
      <rPr>
        <sz val="10"/>
        <color indexed="8"/>
        <rFont val="宋体"/>
        <charset val="134"/>
      </rPr>
      <t>（%）</t>
    </r>
  </si>
  <si>
    <t>相  对  湿  度  (%)</t>
  </si>
  <si>
    <t>连  续  无  雨  日 (d)</t>
  </si>
  <si>
    <r>
      <rPr>
        <sz val="12"/>
        <color indexed="8"/>
        <rFont val="宋体"/>
        <charset val="134"/>
      </rPr>
      <t>时段降水量</t>
    </r>
    <r>
      <rPr>
        <sz val="10"/>
        <color indexed="8"/>
        <rFont val="宋体"/>
        <charset val="134"/>
      </rPr>
      <t>（mm)</t>
    </r>
  </si>
  <si>
    <r>
      <rPr>
        <sz val="11"/>
        <color indexed="8"/>
        <rFont val="宋体"/>
        <charset val="134"/>
      </rPr>
      <t>平均</t>
    </r>
    <r>
      <rPr>
        <sz val="11"/>
        <color indexed="8"/>
        <rFont val="宋体"/>
        <charset val="134"/>
      </rPr>
      <t xml:space="preserve">  流  量</t>
    </r>
    <r>
      <rPr>
        <sz val="6"/>
        <color indexed="8"/>
        <rFont val="宋体"/>
        <charset val="134"/>
      </rPr>
      <t>(10</t>
    </r>
    <r>
      <rPr>
        <vertAlign val="superscript"/>
        <sz val="6"/>
        <color indexed="8"/>
        <rFont val="宋体"/>
        <charset val="134"/>
      </rPr>
      <t>8</t>
    </r>
    <r>
      <rPr>
        <sz val="6"/>
        <color indexed="8"/>
        <rFont val="宋体"/>
        <charset val="134"/>
      </rPr>
      <t>m</t>
    </r>
    <r>
      <rPr>
        <vertAlign val="superscript"/>
        <sz val="6"/>
        <color indexed="8"/>
        <rFont val="宋体"/>
        <charset val="134"/>
      </rPr>
      <t>3</t>
    </r>
    <r>
      <rPr>
        <sz val="6"/>
        <color indexed="8"/>
        <rFont val="宋体"/>
        <charset val="134"/>
      </rPr>
      <t>)</t>
    </r>
  </si>
  <si>
    <r>
      <rPr>
        <sz val="12"/>
        <color indexed="8"/>
        <rFont val="宋体"/>
        <charset val="134"/>
      </rPr>
      <t>时  段  蒸  发  量</t>
    </r>
    <r>
      <rPr>
        <sz val="10"/>
        <color indexed="8"/>
        <rFont val="宋体"/>
        <charset val="134"/>
      </rPr>
      <t>（mm)</t>
    </r>
  </si>
  <si>
    <t>灌溉  时间</t>
  </si>
  <si>
    <t>作物生长情况</t>
  </si>
  <si>
    <t xml:space="preserve">备     注 </t>
  </si>
  <si>
    <t>月</t>
  </si>
  <si>
    <t>日</t>
  </si>
  <si>
    <t>时</t>
  </si>
  <si>
    <r>
      <rPr>
        <sz val="12"/>
        <color indexed="8"/>
        <rFont val="宋体"/>
        <charset val="134"/>
      </rPr>
      <t>仪器法</t>
    </r>
    <r>
      <rPr>
        <sz val="12"/>
        <color indexed="8"/>
        <rFont val="Times New Roman"/>
        <charset val="1"/>
      </rPr>
      <t xml:space="preserve"> </t>
    </r>
    <r>
      <rPr>
        <sz val="11"/>
        <color indexed="8"/>
        <rFont val="宋体"/>
        <charset val="134"/>
      </rPr>
      <t>（体积</t>
    </r>
    <r>
      <rPr>
        <sz val="11"/>
        <color indexed="8"/>
        <rFont val="Times New Roman"/>
        <charset val="1"/>
      </rPr>
      <t xml:space="preserve"> %</t>
    </r>
    <r>
      <rPr>
        <sz val="11"/>
        <color indexed="8"/>
        <rFont val="宋体"/>
        <charset val="134"/>
      </rPr>
      <t>）</t>
    </r>
  </si>
  <si>
    <r>
      <rPr>
        <sz val="12"/>
        <color indexed="8"/>
        <rFont val="宋体"/>
        <charset val="134"/>
      </rPr>
      <t>烘干法</t>
    </r>
    <r>
      <rPr>
        <sz val="11"/>
        <color indexed="8"/>
        <rFont val="宋体"/>
        <charset val="134"/>
      </rPr>
      <t>（重量</t>
    </r>
    <r>
      <rPr>
        <sz val="11"/>
        <color indexed="8"/>
        <rFont val="Times New Roman"/>
        <charset val="1"/>
      </rPr>
      <t xml:space="preserve">  %</t>
    </r>
    <r>
      <rPr>
        <sz val="11"/>
        <color indexed="8"/>
        <rFont val="宋体"/>
        <charset val="134"/>
      </rPr>
      <t>）</t>
    </r>
  </si>
  <si>
    <t>种类</t>
  </si>
  <si>
    <t>生长 阶段</t>
  </si>
  <si>
    <t>水分状态</t>
  </si>
  <si>
    <t>10cm</t>
  </si>
  <si>
    <t>20cm</t>
  </si>
  <si>
    <t>40cm</t>
  </si>
  <si>
    <t>垂线 平均</t>
  </si>
  <si>
    <t>石  泉</t>
  </si>
  <si>
    <t>仪器故障，无仪器观测值</t>
  </si>
  <si>
    <t xml:space="preserve">采样天气:晴天 </t>
  </si>
  <si>
    <t>马  池</t>
  </si>
  <si>
    <t>恒  口</t>
  </si>
  <si>
    <t>说  明</t>
  </si>
  <si>
    <t xml:space="preserve">一校：张岚  2026年5月11日    二校： 吴丹 2026年5月11日       审查：白龙军 2026年5月11日 </t>
  </si>
  <si>
    <t>附件2                                   石 泉 站  土 壤 墒 情 监 测 烘 干 法 计 算 表</t>
  </si>
  <si>
    <t xml:space="preserve"> 测次：13   采样时间: 2026 年 5 月 10 日 8 时 00分     烘干温度：105℃     烘干时间： 10 日 8 时 25 分 ～  10 日 16 时 25 分</t>
  </si>
  <si>
    <t>取样深度（cm）</t>
  </si>
  <si>
    <t>垂线平均土壤含水量（%）</t>
  </si>
  <si>
    <t>加权垂线平均</t>
  </si>
  <si>
    <t xml:space="preserve"> 田间  持水量（%）</t>
  </si>
  <si>
    <t>土壤相 对湿度（%）</t>
  </si>
  <si>
    <t>称样容器编号</t>
  </si>
  <si>
    <t>称样容器+湿土质量（g）</t>
  </si>
  <si>
    <t>称样容器+干土质量（g）</t>
  </si>
  <si>
    <t>称样容器质量（g）</t>
  </si>
  <si>
    <t>手动输入</t>
  </si>
  <si>
    <t>自动计算检查0为“通过”</t>
  </si>
  <si>
    <t xml:space="preserve">   干土质量（g）</t>
  </si>
  <si>
    <t>4=2-3</t>
  </si>
  <si>
    <t>土壤水质量（g）</t>
  </si>
  <si>
    <t>5=1-2</t>
  </si>
  <si>
    <t>土壤含水量（%）</t>
  </si>
  <si>
    <t>5/4*100</t>
  </si>
  <si>
    <t>测点平均土壤含水量（%）</t>
  </si>
  <si>
    <t>主  要  作  物</t>
  </si>
  <si>
    <t>地下水埋深   （m）</t>
  </si>
  <si>
    <t>无</t>
  </si>
  <si>
    <t>表土情况</t>
  </si>
  <si>
    <t>采样天气状况</t>
  </si>
  <si>
    <t xml:space="preserve">    主要作物生长描述</t>
  </si>
  <si>
    <t>主要作物生长阶段</t>
  </si>
  <si>
    <t>成长期</t>
  </si>
  <si>
    <t>旬降水量（mm）</t>
  </si>
  <si>
    <t>无干土</t>
  </si>
  <si>
    <t>晴天</t>
  </si>
  <si>
    <t>正常</t>
  </si>
  <si>
    <t>主要作物水分状况</t>
  </si>
  <si>
    <r>
      <t>旬流量（</t>
    </r>
    <r>
      <rPr>
        <sz val="10"/>
        <rFont val="Arial Unicode MS"/>
        <family val="2"/>
        <charset val="134"/>
      </rPr>
      <t>㎥</t>
    </r>
    <r>
      <rPr>
        <sz val="10"/>
        <rFont val="宋体"/>
        <charset val="134"/>
      </rPr>
      <t>/s）</t>
    </r>
  </si>
  <si>
    <t>土壤类型</t>
  </si>
  <si>
    <t>褐土</t>
  </si>
  <si>
    <t>连续无雨日</t>
  </si>
  <si>
    <t>土壤质地</t>
  </si>
  <si>
    <t>黏土</t>
  </si>
  <si>
    <t>灌溉时间</t>
  </si>
  <si>
    <t xml:space="preserve"> 取样: 喻 林         测定：  喻 林        一校：沈杭                二校：金 露              审核： </t>
  </si>
  <si>
    <t xml:space="preserve">                                 马 池 站  土 壤 墒 情 监 测 烘 干 法 计 算 表</t>
  </si>
  <si>
    <t xml:space="preserve">测次：13 采样时间：2026年05月10日08时05分  烘干温度  105℃   烘干时间 10日08时40分-10日18时20分 </t>
  </si>
  <si>
    <t>项目</t>
  </si>
  <si>
    <t>田间 持水量（%）</t>
  </si>
  <si>
    <t>白地</t>
  </si>
  <si>
    <t>地下水埋深 （m）</t>
  </si>
  <si>
    <t>时段降水量（mm）</t>
  </si>
  <si>
    <t>晴</t>
  </si>
  <si>
    <t>时段蒸发量 （mm）</t>
  </si>
  <si>
    <t>时段平均流量</t>
  </si>
  <si>
    <t xml:space="preserve">           取样:尹顺         测定：尹顺           一校：        二校：      审核：</t>
  </si>
  <si>
    <t>附件2                                   长枪铺 站  土 壤 墒 情 监 测 烘 干 法 计 算 表</t>
  </si>
  <si>
    <r>
      <rPr>
        <sz val="12"/>
        <rFont val="宋体"/>
        <charset val="134"/>
      </rPr>
      <t xml:space="preserve"> 测次：13    采样时间: 2026年5月10日 8 时        烘干温度：105</t>
    </r>
    <r>
      <rPr>
        <sz val="12"/>
        <rFont val="宋体"/>
        <charset val="134"/>
      </rPr>
      <t>℃  烘干时间：2026年5月10日8时30分～2026年5月10日16时30分</t>
    </r>
  </si>
  <si>
    <t>生长期</t>
  </si>
  <si>
    <t>旬平均流量（m3s）</t>
  </si>
  <si>
    <t>黄壤</t>
  </si>
  <si>
    <t xml:space="preserve"> 取样:       王阳               测定：    王阳             一校：       王阳                      二校：               审核： </t>
  </si>
  <si>
    <r>
      <rPr>
        <sz val="12"/>
        <rFont val="仿宋_GB2312"/>
        <charset val="134"/>
      </rPr>
      <t xml:space="preserve"> </t>
    </r>
    <r>
      <rPr>
        <sz val="12"/>
        <rFont val="宋体"/>
        <charset val="134"/>
      </rPr>
      <t xml:space="preserve"> 附件2</t>
    </r>
    <r>
      <rPr>
        <sz val="12"/>
        <rFont val="仿宋_GB2312"/>
        <charset val="134"/>
      </rPr>
      <t xml:space="preserve">                 </t>
    </r>
  </si>
  <si>
    <t>恒 口 站  土 壤 墒 情 监 测 监 测 烘 干 法 计 算 表</t>
  </si>
  <si>
    <t xml:space="preserve">    采样时间:2026年5月10日 8：00     烘干温度：105℃    烘干时间5月10日8时30分～10日17时30分</t>
  </si>
  <si>
    <t>垂线平均土壤含水量    （%）</t>
  </si>
  <si>
    <t xml:space="preserve">  土 壤          含 水 量           （%）</t>
  </si>
  <si>
    <t xml:space="preserve"> 田 间    持 水 量（%）</t>
  </si>
  <si>
    <t>土壤相   对湿度（%）</t>
  </si>
  <si>
    <t>湿润</t>
  </si>
  <si>
    <t>睛</t>
  </si>
  <si>
    <t>旬蒸发量 （mm）</t>
  </si>
  <si>
    <t>面沙土</t>
  </si>
  <si>
    <t xml:space="preserve">   取样: 马德志         测定：马德志                    审核：马德志 </t>
  </si>
  <si>
    <r>
      <rPr>
        <sz val="11"/>
        <color indexed="8"/>
        <rFont val="宋体"/>
        <charset val="134"/>
      </rPr>
      <t>旬  径  流  量</t>
    </r>
    <r>
      <rPr>
        <sz val="6"/>
        <color indexed="8"/>
        <rFont val="宋体"/>
        <charset val="134"/>
      </rPr>
      <t>(10</t>
    </r>
    <r>
      <rPr>
        <vertAlign val="superscript"/>
        <sz val="6"/>
        <color indexed="8"/>
        <rFont val="宋体"/>
        <charset val="134"/>
      </rPr>
      <t>8</t>
    </r>
    <r>
      <rPr>
        <sz val="6"/>
        <color indexed="8"/>
        <rFont val="宋体"/>
        <charset val="134"/>
      </rPr>
      <t>m</t>
    </r>
    <r>
      <rPr>
        <vertAlign val="superscript"/>
        <sz val="6"/>
        <color indexed="8"/>
        <rFont val="宋体"/>
        <charset val="134"/>
      </rPr>
      <t>3</t>
    </r>
    <r>
      <rPr>
        <sz val="6"/>
        <color indexed="8"/>
        <rFont val="宋体"/>
        <charset val="134"/>
      </rPr>
      <t>)</t>
    </r>
  </si>
  <si>
    <r>
      <rPr>
        <sz val="12"/>
        <rFont val="宋体"/>
        <charset val="134"/>
      </rPr>
      <t>时  段  蒸  发  量</t>
    </r>
    <r>
      <rPr>
        <sz val="10"/>
        <color indexed="8"/>
        <rFont val="宋体"/>
        <charset val="134"/>
      </rPr>
      <t>（mm)</t>
    </r>
  </si>
  <si>
    <t xml:space="preserve"> </t>
  </si>
  <si>
    <t xml:space="preserve">        制表：马德志        一校 ：  马 德志             </t>
  </si>
  <si>
    <t xml:space="preserve">   </t>
  </si>
  <si>
    <t>站上旬日均流量</t>
  </si>
  <si>
    <t>报送旬总流量</t>
  </si>
  <si>
    <t>立方米每秒</t>
  </si>
  <si>
    <t>亿立方米每秒</t>
  </si>
  <si>
    <t>石泉</t>
  </si>
  <si>
    <t>马池</t>
  </si>
  <si>
    <t>恒口</t>
  </si>
  <si>
    <t>土壤   湿度（%）</t>
  </si>
  <si>
    <t>全部为0通过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</si>
</sst>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0.000_ "/>
    <numFmt numFmtId="179" formatCode="h:mm;@"/>
    <numFmt numFmtId="180" formatCode="0.0_);[Red]\(0.0\)"/>
    <numFmt numFmtId="181" formatCode="0_ "/>
    <numFmt numFmtId="182" formatCode="0.00_ "/>
    <numFmt numFmtId="183" formatCode="0.0;_ㄎ"/>
    <numFmt numFmtId="184" formatCode="0.0"/>
  </numFmts>
  <fonts count="48">
    <font>
      <sz val="12"/>
      <name val="宋体"/>
      <charset val="134"/>
    </font>
    <font>
      <b/>
      <sz val="12"/>
      <color rgb="FF000000"/>
      <name val="黑体"/>
      <charset val="134"/>
    </font>
    <font>
      <b/>
      <sz val="20"/>
      <color indexed="8"/>
      <name val="黑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b/>
      <sz val="14"/>
      <color indexed="8"/>
      <name val="隶书"/>
      <family val="3"/>
      <charset val="134"/>
    </font>
    <font>
      <b/>
      <sz val="14"/>
      <color indexed="8"/>
      <name val="隶书"/>
      <charset val="134"/>
    </font>
    <font>
      <b/>
      <sz val="14"/>
      <color indexed="8"/>
      <name val="仿宋_GB2312"/>
      <charset val="134"/>
    </font>
    <font>
      <sz val="10"/>
      <color indexed="8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4"/>
      <name val="宋体"/>
      <charset val="134"/>
    </font>
    <font>
      <b/>
      <sz val="14"/>
      <name val="黑体"/>
      <charset val="134"/>
    </font>
    <font>
      <sz val="12"/>
      <color indexed="10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name val="仿宋_GB2312"/>
      <charset val="134"/>
    </font>
    <font>
      <sz val="11"/>
      <color indexed="17"/>
      <name val="宋体"/>
      <charset val="134"/>
    </font>
    <font>
      <sz val="10"/>
      <color indexed="10"/>
      <name val="宋体"/>
      <charset val="134"/>
    </font>
    <font>
      <u/>
      <sz val="12"/>
      <color indexed="12"/>
      <name val="宋体"/>
      <charset val="134"/>
    </font>
    <font>
      <vertAlign val="superscript"/>
      <sz val="14"/>
      <name val="宋体"/>
      <charset val="134"/>
    </font>
    <font>
      <b/>
      <sz val="18"/>
      <name val="宋体"/>
      <charset val="134"/>
    </font>
    <font>
      <u/>
      <sz val="9"/>
      <color indexed="12"/>
      <name val="宋体"/>
      <charset val="134"/>
    </font>
    <font>
      <u/>
      <sz val="9"/>
      <color indexed="36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b/>
      <sz val="12"/>
      <color indexed="8"/>
      <name val="宋体"/>
      <charset val="134"/>
    </font>
    <font>
      <sz val="11"/>
      <color indexed="8"/>
      <name val="Times New Roman"/>
      <charset val="1"/>
    </font>
    <font>
      <sz val="6"/>
      <color indexed="8"/>
      <name val="宋体"/>
      <charset val="134"/>
    </font>
    <font>
      <vertAlign val="superscript"/>
      <sz val="6"/>
      <color indexed="8"/>
      <name val="宋体"/>
      <charset val="134"/>
    </font>
    <font>
      <sz val="12"/>
      <color indexed="8"/>
      <name val="Times New Roman"/>
      <charset val="1"/>
    </font>
    <font>
      <sz val="10"/>
      <name val="Arial Unicode MS"/>
      <family val="2"/>
      <charset val="134"/>
    </font>
    <font>
      <sz val="12"/>
      <color rgb="FFFF000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7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5" fillId="6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19" applyNumberFormat="0" applyAlignment="0" applyProtection="0">
      <alignment vertical="center"/>
    </xf>
    <xf numFmtId="0" fontId="33" fillId="8" borderId="20" applyNumberFormat="0" applyAlignment="0" applyProtection="0">
      <alignment vertical="center"/>
    </xf>
    <xf numFmtId="0" fontId="34" fillId="8" borderId="19" applyNumberFormat="0" applyAlignment="0" applyProtection="0">
      <alignment vertical="center"/>
    </xf>
    <xf numFmtId="0" fontId="35" fillId="9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0" fillId="0" borderId="0"/>
    <xf numFmtId="0" fontId="5" fillId="41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1" fillId="0" borderId="5" xfId="68" applyFont="1" applyBorder="1" applyAlignment="1">
      <alignment horizontal="left" vertical="center"/>
    </xf>
    <xf numFmtId="0" fontId="2" fillId="0" borderId="5" xfId="68" applyFont="1" applyBorder="1" applyAlignment="1">
      <alignment horizontal="left" vertical="center"/>
    </xf>
    <xf numFmtId="0" fontId="3" fillId="0" borderId="1" xfId="68" applyFont="1" applyBorder="1" applyAlignment="1">
      <alignment horizontal="center" vertical="center" wrapText="1"/>
    </xf>
    <xf numFmtId="0" fontId="4" fillId="0" borderId="1" xfId="68" applyFont="1" applyBorder="1" applyAlignment="1">
      <alignment horizontal="center" vertical="center" wrapText="1"/>
    </xf>
    <xf numFmtId="0" fontId="4" fillId="0" borderId="3" xfId="68" applyFont="1" applyBorder="1" applyAlignment="1">
      <alignment horizontal="center" vertical="center"/>
    </xf>
    <xf numFmtId="0" fontId="3" fillId="0" borderId="6" xfId="68" applyFont="1" applyBorder="1" applyAlignment="1">
      <alignment horizontal="center" vertical="center" wrapText="1"/>
    </xf>
    <xf numFmtId="0" fontId="4" fillId="0" borderId="6" xfId="68" applyFont="1" applyBorder="1" applyAlignment="1">
      <alignment horizontal="center" vertical="center" wrapText="1"/>
    </xf>
    <xf numFmtId="0" fontId="5" fillId="0" borderId="1" xfId="68" applyFont="1" applyBorder="1" applyAlignment="1">
      <alignment horizontal="center" vertical="center"/>
    </xf>
    <xf numFmtId="0" fontId="5" fillId="0" borderId="2" xfId="68" applyFont="1" applyBorder="1" applyAlignment="1">
      <alignment horizontal="center" vertical="center"/>
    </xf>
    <xf numFmtId="0" fontId="6" fillId="0" borderId="3" xfId="68" applyFont="1" applyFill="1" applyBorder="1" applyAlignment="1"/>
    <xf numFmtId="0" fontId="0" fillId="0" borderId="3" xfId="68" applyFont="1" applyFill="1" applyBorder="1" applyAlignment="1">
      <alignment horizontal="center" vertical="center"/>
    </xf>
    <xf numFmtId="0" fontId="7" fillId="0" borderId="6" xfId="68" applyFont="1" applyFill="1" applyBorder="1" applyAlignment="1">
      <alignment horizontal="center" vertical="center"/>
    </xf>
    <xf numFmtId="0" fontId="4" fillId="0" borderId="7" xfId="68" applyFont="1" applyBorder="1" applyAlignment="1">
      <alignment horizontal="center" vertical="center" wrapText="1"/>
    </xf>
    <xf numFmtId="0" fontId="4" fillId="0" borderId="8" xfId="68" applyFont="1" applyBorder="1" applyAlignment="1">
      <alignment horizontal="center" vertical="center" wrapText="1"/>
    </xf>
    <xf numFmtId="0" fontId="8" fillId="0" borderId="4" xfId="68" applyFont="1" applyBorder="1" applyAlignment="1">
      <alignment horizontal="left" vertical="center"/>
    </xf>
    <xf numFmtId="0" fontId="4" fillId="0" borderId="7" xfId="68" applyFont="1" applyBorder="1" applyAlignment="1">
      <alignment horizontal="center" vertical="center"/>
    </xf>
    <xf numFmtId="0" fontId="4" fillId="0" borderId="8" xfId="68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9" fillId="0" borderId="3" xfId="68" applyFont="1" applyBorder="1" applyAlignment="1">
      <alignment horizontal="center" vertical="center" wrapText="1"/>
    </xf>
    <xf numFmtId="179" fontId="0" fillId="0" borderId="3" xfId="68" applyNumberFormat="1" applyFont="1" applyFill="1" applyBorder="1" applyAlignment="1">
      <alignment horizontal="center" vertical="center"/>
    </xf>
    <xf numFmtId="180" fontId="10" fillId="0" borderId="9" xfId="68" applyNumberFormat="1" applyFont="1" applyFill="1" applyBorder="1" applyAlignment="1">
      <alignment horizontal="center" vertical="center" wrapText="1"/>
    </xf>
    <xf numFmtId="180" fontId="10" fillId="0" borderId="5" xfId="68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5" fillId="0" borderId="3" xfId="68" applyFont="1" applyBorder="1" applyAlignment="1">
      <alignment horizontal="center" vertical="center" wrapText="1"/>
    </xf>
    <xf numFmtId="180" fontId="10" fillId="0" borderId="11" xfId="68" applyNumberFormat="1" applyFont="1" applyFill="1" applyBorder="1" applyAlignment="1">
      <alignment horizontal="center" vertical="center" wrapText="1"/>
    </xf>
    <xf numFmtId="180" fontId="0" fillId="0" borderId="6" xfId="68" applyNumberFormat="1" applyFont="1" applyFill="1" applyBorder="1" applyAlignment="1">
      <alignment vertical="center"/>
    </xf>
    <xf numFmtId="0" fontId="4" fillId="0" borderId="10" xfId="68" applyFont="1" applyBorder="1" applyAlignment="1">
      <alignment horizontal="center" vertical="center"/>
    </xf>
    <xf numFmtId="181" fontId="0" fillId="0" borderId="3" xfId="68" applyNumberFormat="1" applyFont="1" applyFill="1" applyBorder="1" applyAlignment="1">
      <alignment vertical="center"/>
    </xf>
    <xf numFmtId="0" fontId="5" fillId="0" borderId="1" xfId="68" applyFont="1" applyBorder="1" applyAlignment="1">
      <alignment horizontal="center" vertical="center" wrapText="1"/>
    </xf>
    <xf numFmtId="0" fontId="5" fillId="0" borderId="6" xfId="68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80" fontId="0" fillId="0" borderId="3" xfId="68" applyNumberFormat="1" applyFont="1" applyFill="1" applyBorder="1" applyAlignment="1">
      <alignment horizontal="center" vertical="center"/>
    </xf>
    <xf numFmtId="177" fontId="0" fillId="0" borderId="3" xfId="68" applyNumberFormat="1" applyFont="1" applyFill="1" applyBorder="1" applyAlignment="1">
      <alignment vertical="center"/>
    </xf>
    <xf numFmtId="0" fontId="4" fillId="0" borderId="1" xfId="68" applyFont="1" applyBorder="1" applyAlignment="1">
      <alignment horizontal="center" vertical="center"/>
    </xf>
    <xf numFmtId="0" fontId="4" fillId="0" borderId="2" xfId="68" applyFont="1" applyBorder="1" applyAlignment="1">
      <alignment horizontal="center" vertical="center"/>
    </xf>
    <xf numFmtId="0" fontId="4" fillId="0" borderId="2" xfId="68" applyFont="1" applyBorder="1" applyAlignment="1">
      <alignment horizontal="center" vertical="center" wrapText="1"/>
    </xf>
    <xf numFmtId="0" fontId="0" fillId="0" borderId="3" xfId="68" applyFont="1" applyFill="1" applyBorder="1" applyAlignment="1">
      <alignment vertical="center"/>
    </xf>
    <xf numFmtId="0" fontId="12" fillId="0" borderId="2" xfId="0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176" fontId="14" fillId="0" borderId="3" xfId="0" applyNumberFormat="1" applyFont="1" applyFill="1" applyBorder="1" applyAlignment="1">
      <alignment vertical="center"/>
    </xf>
    <xf numFmtId="176" fontId="11" fillId="0" borderId="3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10" fontId="11" fillId="0" borderId="3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31" fontId="0" fillId="0" borderId="7" xfId="0" applyNumberFormat="1" applyFill="1" applyBorder="1">
      <alignment vertical="center"/>
    </xf>
    <xf numFmtId="0" fontId="0" fillId="0" borderId="8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180" fontId="14" fillId="2" borderId="3" xfId="0" applyNumberFormat="1" applyFont="1" applyFill="1" applyBorder="1">
      <alignment vertical="center"/>
    </xf>
    <xf numFmtId="180" fontId="14" fillId="0" borderId="3" xfId="0" applyNumberFormat="1" applyFont="1" applyBorder="1">
      <alignment vertical="center"/>
    </xf>
    <xf numFmtId="180" fontId="16" fillId="0" borderId="3" xfId="0" applyNumberFormat="1" applyFont="1" applyBorder="1">
      <alignment vertical="center"/>
    </xf>
    <xf numFmtId="180" fontId="11" fillId="0" borderId="3" xfId="0" applyNumberFormat="1" applyFont="1" applyBorder="1">
      <alignment vertical="center"/>
    </xf>
    <xf numFmtId="0" fontId="15" fillId="0" borderId="3" xfId="0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176" fontId="0" fillId="0" borderId="3" xfId="0" applyNumberFormat="1" applyFont="1" applyBorder="1">
      <alignment vertical="center"/>
    </xf>
    <xf numFmtId="0" fontId="11" fillId="0" borderId="3" xfId="0" applyFont="1" applyBorder="1" applyAlignment="1">
      <alignment horizontal="center" vertical="center" wrapText="1"/>
    </xf>
    <xf numFmtId="10" fontId="11" fillId="0" borderId="3" xfId="0" applyNumberFormat="1" applyFont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0" fontId="17" fillId="0" borderId="7" xfId="0" applyFont="1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14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11" fillId="0" borderId="10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1" fillId="0" borderId="8" xfId="0" applyFont="1" applyFill="1" applyBorder="1" applyAlignment="1">
      <alignment vertical="center"/>
    </xf>
    <xf numFmtId="0" fontId="20" fillId="3" borderId="0" xfId="22" applyFill="1" applyAlignment="1"/>
    <xf numFmtId="180" fontId="16" fillId="0" borderId="1" xfId="0" applyNumberFormat="1" applyFont="1" applyFill="1" applyBorder="1" applyAlignment="1">
      <alignment horizontal="center" vertical="center"/>
    </xf>
    <xf numFmtId="180" fontId="14" fillId="0" borderId="3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80" fontId="11" fillId="0" borderId="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80" fontId="11" fillId="0" borderId="3" xfId="0" applyNumberFormat="1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81" fontId="0" fillId="0" borderId="3" xfId="0" applyNumberForma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182" fontId="11" fillId="0" borderId="3" xfId="0" applyNumberFormat="1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81" fontId="15" fillId="0" borderId="3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82" fontId="11" fillId="0" borderId="3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81" fontId="0" fillId="0" borderId="3" xfId="0" applyNumberFormat="1" applyBorder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83" fontId="18" fillId="0" borderId="3" xfId="0" applyNumberFormat="1" applyFon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176" fontId="14" fillId="0" borderId="3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15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0" fontId="0" fillId="0" borderId="3" xfId="0" applyBorder="1">
      <alignment vertical="center"/>
    </xf>
    <xf numFmtId="176" fontId="14" fillId="0" borderId="3" xfId="0" applyNumberFormat="1" applyFont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176" fontId="0" fillId="0" borderId="3" xfId="0" applyNumberFormat="1" applyBorder="1">
      <alignment vertical="center"/>
    </xf>
    <xf numFmtId="0" fontId="0" fillId="0" borderId="10" xfId="0" applyFill="1" applyBorder="1">
      <alignment vertical="center"/>
    </xf>
    <xf numFmtId="176" fontId="11" fillId="2" borderId="3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3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22" fillId="4" borderId="3" xfId="6" applyFont="1" applyFill="1" applyBorder="1" applyAlignment="1" applyProtection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1" fillId="0" borderId="8" xfId="0" applyNumberFormat="1" applyFont="1" applyFill="1" applyBorder="1" applyAlignment="1">
      <alignment horizontal="center" vertical="center"/>
    </xf>
    <xf numFmtId="180" fontId="11" fillId="0" borderId="10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180" fontId="0" fillId="0" borderId="3" xfId="0" applyNumberFormat="1" applyBorder="1">
      <alignment vertical="center"/>
    </xf>
    <xf numFmtId="0" fontId="0" fillId="0" borderId="0" xfId="0" applyFill="1">
      <alignment vertical="center"/>
    </xf>
    <xf numFmtId="0" fontId="7" fillId="0" borderId="3" xfId="68" applyFont="1" applyBorder="1" applyAlignment="1"/>
    <xf numFmtId="0" fontId="0" fillId="0" borderId="3" xfId="68" applyNumberFormat="1" applyFont="1" applyBorder="1" applyAlignment="1">
      <alignment horizontal="center" vertical="center"/>
    </xf>
    <xf numFmtId="0" fontId="0" fillId="0" borderId="3" xfId="68" applyFont="1" applyBorder="1" applyAlignment="1">
      <alignment horizontal="center" vertical="center"/>
    </xf>
    <xf numFmtId="0" fontId="7" fillId="0" borderId="3" xfId="68" applyFont="1" applyFill="1" applyBorder="1" applyAlignment="1"/>
    <xf numFmtId="0" fontId="0" fillId="0" borderId="3" xfId="68" applyNumberFormat="1" applyFont="1" applyFill="1" applyBorder="1" applyAlignment="1">
      <alignment horizontal="center" vertical="center"/>
    </xf>
    <xf numFmtId="0" fontId="0" fillId="0" borderId="3" xfId="68" applyFont="1" applyFill="1" applyBorder="1" applyAlignment="1">
      <alignment horizontal="center" vertical="center"/>
    </xf>
    <xf numFmtId="0" fontId="9" fillId="0" borderId="4" xfId="68" applyFont="1" applyBorder="1" applyAlignment="1">
      <alignment horizontal="left" vertical="center"/>
    </xf>
    <xf numFmtId="179" fontId="0" fillId="0" borderId="3" xfId="68" applyNumberFormat="1" applyFont="1" applyBorder="1" applyAlignment="1">
      <alignment horizontal="center" vertical="center"/>
    </xf>
    <xf numFmtId="180" fontId="10" fillId="0" borderId="14" xfId="68" applyNumberFormat="1" applyFont="1" applyFill="1" applyBorder="1" applyAlignment="1">
      <alignment horizontal="center" vertical="center" wrapText="1"/>
    </xf>
    <xf numFmtId="180" fontId="10" fillId="0" borderId="4" xfId="68" applyNumberFormat="1" applyFont="1" applyFill="1" applyBorder="1" applyAlignment="1">
      <alignment horizontal="center" vertical="center" wrapText="1"/>
    </xf>
    <xf numFmtId="179" fontId="0" fillId="0" borderId="3" xfId="68" applyNumberFormat="1" applyFont="1" applyFill="1" applyBorder="1" applyAlignment="1">
      <alignment horizontal="center" vertical="center"/>
    </xf>
    <xf numFmtId="180" fontId="10" fillId="0" borderId="12" xfId="68" applyNumberFormat="1" applyFont="1" applyFill="1" applyBorder="1" applyAlignment="1">
      <alignment horizontal="center" vertical="center" wrapText="1"/>
    </xf>
    <xf numFmtId="180" fontId="10" fillId="0" borderId="0" xfId="68" applyNumberFormat="1" applyFont="1" applyFill="1" applyBorder="1" applyAlignment="1">
      <alignment horizontal="center" vertical="center" wrapText="1"/>
    </xf>
    <xf numFmtId="180" fontId="10" fillId="0" borderId="15" xfId="68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/>
    </xf>
    <xf numFmtId="180" fontId="10" fillId="0" borderId="13" xfId="68" applyNumberFormat="1" applyFont="1" applyFill="1" applyBorder="1" applyAlignment="1">
      <alignment horizontal="center" vertical="center" wrapText="1"/>
    </xf>
    <xf numFmtId="180" fontId="0" fillId="0" borderId="3" xfId="0" applyNumberFormat="1" applyFont="1" applyBorder="1" applyAlignment="1">
      <alignment horizontal="center" vertical="center"/>
    </xf>
    <xf numFmtId="182" fontId="0" fillId="0" borderId="3" xfId="68" applyNumberFormat="1" applyFont="1" applyFill="1" applyBorder="1" applyAlignment="1">
      <alignment vertical="center"/>
    </xf>
    <xf numFmtId="176" fontId="0" fillId="0" borderId="3" xfId="68" applyNumberFormat="1" applyFont="1" applyFill="1" applyBorder="1" applyAlignment="1">
      <alignment horizontal="center" vertical="center"/>
    </xf>
    <xf numFmtId="182" fontId="0" fillId="0" borderId="3" xfId="68" applyNumberFormat="1" applyFont="1" applyBorder="1" applyAlignment="1">
      <alignment vertical="center"/>
    </xf>
    <xf numFmtId="176" fontId="0" fillId="0" borderId="3" xfId="68" applyNumberFormat="1" applyFont="1" applyBorder="1" applyAlignment="1">
      <alignment horizontal="center" vertical="center"/>
    </xf>
    <xf numFmtId="0" fontId="5" fillId="0" borderId="1" xfId="68" applyFont="1" applyFill="1" applyBorder="1" applyAlignment="1">
      <alignment horizontal="center" vertical="center" wrapText="1"/>
    </xf>
    <xf numFmtId="0" fontId="5" fillId="0" borderId="6" xfId="68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78" fontId="0" fillId="0" borderId="3" xfId="0" applyNumberFormat="1" applyFill="1" applyBorder="1">
      <alignment vertical="center"/>
    </xf>
    <xf numFmtId="49" fontId="0" fillId="0" borderId="3" xfId="68" applyNumberFormat="1" applyFont="1" applyFill="1" applyBorder="1" applyAlignment="1">
      <alignment horizontal="center" vertical="center"/>
    </xf>
    <xf numFmtId="0" fontId="0" fillId="0" borderId="3" xfId="68" applyFont="1" applyBorder="1" applyAlignment="1">
      <alignment vertical="center"/>
    </xf>
    <xf numFmtId="178" fontId="0" fillId="0" borderId="3" xfId="0" applyNumberFormat="1" applyFont="1" applyFill="1" applyBorder="1" applyAlignment="1">
      <alignment horizontal="center" vertical="center"/>
    </xf>
    <xf numFmtId="0" fontId="0" fillId="0" borderId="3" xfId="68" applyFont="1" applyFill="1" applyBorder="1" applyAlignment="1">
      <alignment vertical="center"/>
    </xf>
    <xf numFmtId="178" fontId="0" fillId="0" borderId="3" xfId="0" applyNumberFormat="1" applyFont="1" applyBorder="1" applyAlignment="1">
      <alignment horizontal="center" vertical="center"/>
    </xf>
    <xf numFmtId="49" fontId="0" fillId="0" borderId="3" xfId="68" applyNumberFormat="1" applyFont="1" applyBorder="1" applyAlignment="1">
      <alignment horizontal="center" vertical="center"/>
    </xf>
    <xf numFmtId="184" fontId="0" fillId="0" borderId="3" xfId="68" applyNumberFormat="1" applyFont="1" applyFill="1" applyBorder="1" applyAlignment="1">
      <alignment horizontal="center" vertical="center"/>
    </xf>
    <xf numFmtId="0" fontId="4" fillId="0" borderId="10" xfId="68" applyFont="1" applyBorder="1" applyAlignment="1">
      <alignment horizontal="center" vertical="center" wrapText="1"/>
    </xf>
    <xf numFmtId="10" fontId="0" fillId="0" borderId="3" xfId="68" applyNumberFormat="1" applyFont="1" applyBorder="1" applyAlignment="1">
      <alignment vertical="center"/>
    </xf>
    <xf numFmtId="10" fontId="0" fillId="0" borderId="3" xfId="68" applyNumberFormat="1" applyFont="1" applyFill="1" applyBorder="1" applyAlignment="1">
      <alignment vertical="center"/>
    </xf>
    <xf numFmtId="0" fontId="23" fillId="5" borderId="1" xfId="68" applyFont="1" applyFill="1" applyBorder="1" applyAlignment="1">
      <alignment vertical="center" wrapText="1"/>
    </xf>
    <xf numFmtId="0" fontId="23" fillId="0" borderId="6" xfId="68" applyFont="1" applyFill="1" applyBorder="1" applyAlignment="1">
      <alignment vertical="center" wrapText="1"/>
    </xf>
    <xf numFmtId="0" fontId="23" fillId="5" borderId="6" xfId="68" applyFont="1" applyFill="1" applyBorder="1" applyAlignment="1">
      <alignment vertical="center" wrapText="1"/>
    </xf>
    <xf numFmtId="0" fontId="12" fillId="5" borderId="6" xfId="0" applyFont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182" fontId="0" fillId="0" borderId="3" xfId="0" applyNumberFormat="1" applyFont="1" applyFill="1" applyBorder="1" applyAlignment="1">
      <alignment horizontal="center" vertical="center"/>
    </xf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6" xfId="49"/>
    <cellStyle name="着色 5" xfId="50"/>
    <cellStyle name="着色 3" xfId="51"/>
    <cellStyle name="着色 2" xfId="52"/>
    <cellStyle name="着色 1" xfId="53"/>
    <cellStyle name="60% - 着色 6" xfId="54"/>
    <cellStyle name="60% - 着色 4" xfId="55"/>
    <cellStyle name="60% - 着色 3" xfId="56"/>
    <cellStyle name="60% - 着色 2" xfId="57"/>
    <cellStyle name="60% - 着色 1" xfId="58"/>
    <cellStyle name="40% - 着色 4" xfId="59"/>
    <cellStyle name="40% - 着色 3" xfId="60"/>
    <cellStyle name="40% - 着色 2" xfId="61"/>
    <cellStyle name="20% - 着色 6" xfId="62"/>
    <cellStyle name="20% - 着色 5" xfId="63"/>
    <cellStyle name="20% - 着色 4" xfId="64"/>
    <cellStyle name="20% - 着色 2" xfId="65"/>
    <cellStyle name="20% - 着色 1" xfId="66"/>
    <cellStyle name="40% - 着色 6" xfId="67"/>
    <cellStyle name="常规_3月21日宝鸡局墒情表" xfId="68"/>
    <cellStyle name="40% - 着色 5" xfId="69"/>
    <cellStyle name="60% - 着色 5" xfId="70"/>
    <cellStyle name="40% - 着色 1" xfId="71"/>
    <cellStyle name="着色 4" xfId="72"/>
    <cellStyle name="20% - 着色 3" xfId="73"/>
  </cellStyles>
  <tableStyles count="0"/>
  <colors>
    <mruColors>
      <color rgb="00FF99CC"/>
      <color rgb="000000FF"/>
      <color rgb="00CCFFCC"/>
      <color rgb="00008000"/>
      <color rgb="00FFFF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683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6684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8890</xdr:colOff>
      <xdr:row>12</xdr:row>
      <xdr:rowOff>8890</xdr:rowOff>
    </xdr:to>
    <xdr:sp>
      <xdr:nvSpPr>
        <xdr:cNvPr id="2416685" name="Line 5"/>
        <xdr:cNvSpPr/>
      </xdr:nvSpPr>
      <xdr:spPr>
        <a:xfrm flipH="1">
          <a:off x="0" y="267525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6686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8890</xdr:colOff>
      <xdr:row>12</xdr:row>
      <xdr:rowOff>8890</xdr:rowOff>
    </xdr:to>
    <xdr:sp>
      <xdr:nvSpPr>
        <xdr:cNvPr id="2416687" name="Line 10"/>
        <xdr:cNvSpPr/>
      </xdr:nvSpPr>
      <xdr:spPr>
        <a:xfrm flipH="1">
          <a:off x="0" y="267525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6688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8890</xdr:colOff>
      <xdr:row>12</xdr:row>
      <xdr:rowOff>8890</xdr:rowOff>
    </xdr:to>
    <xdr:sp>
      <xdr:nvSpPr>
        <xdr:cNvPr id="2416689" name="Line 15"/>
        <xdr:cNvSpPr/>
      </xdr:nvSpPr>
      <xdr:spPr>
        <a:xfrm flipH="1">
          <a:off x="0" y="267525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690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691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692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6693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6694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695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696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697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698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699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00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701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702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703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704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705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6706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6707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6708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09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0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1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2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3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4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5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6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7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8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19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20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21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22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23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24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6725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11906</xdr:rowOff>
    </xdr:from>
    <xdr:to>
      <xdr:col>11</xdr:col>
      <xdr:colOff>0</xdr:colOff>
      <xdr:row>31</xdr:row>
      <xdr:rowOff>0</xdr:rowOff>
    </xdr:to>
    <xdr:cxnSp>
      <xdr:nvCxnSpPr>
        <xdr:cNvPr id="2" name="line"/>
        <xdr:cNvCxnSpPr/>
      </xdr:nvCxnSpPr>
      <xdr:spPr>
        <a:xfrm>
          <a:off x="7040880" y="6826250"/>
          <a:ext cx="0" cy="2120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560070</xdr:colOff>
      <xdr:row>31</xdr:row>
      <xdr:rowOff>0</xdr:rowOff>
    </xdr:from>
    <xdr:to>
      <xdr:col>1</xdr:col>
      <xdr:colOff>560070</xdr:colOff>
      <xdr:row>31</xdr:row>
      <xdr:rowOff>0</xdr:rowOff>
    </xdr:to>
    <xdr:cxnSp>
      <xdr:nvCxnSpPr>
        <xdr:cNvPr id="3" name="line"/>
        <xdr:cNvCxnSpPr/>
      </xdr:nvCxnSpPr>
      <xdr:spPr>
        <a:xfrm>
          <a:off x="120015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4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11906</xdr:rowOff>
    </xdr:to>
    <xdr:cxnSp>
      <xdr:nvCxnSpPr>
        <xdr:cNvPr id="5" name="line"/>
        <xdr:cNvCxnSpPr/>
      </xdr:nvCxnSpPr>
      <xdr:spPr>
        <a:xfrm>
          <a:off x="7040880" y="6814820"/>
          <a:ext cx="0" cy="23495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9335</xdr:colOff>
      <xdr:row>31</xdr:row>
      <xdr:rowOff>0</xdr:rowOff>
    </xdr:from>
    <xdr:to>
      <xdr:col>5</xdr:col>
      <xdr:colOff>9335</xdr:colOff>
      <xdr:row>31</xdr:row>
      <xdr:rowOff>0</xdr:rowOff>
    </xdr:to>
    <xdr:cxnSp>
      <xdr:nvCxnSpPr>
        <xdr:cNvPr id="6" name="line"/>
        <xdr:cNvCxnSpPr/>
      </xdr:nvCxnSpPr>
      <xdr:spPr>
        <a:xfrm>
          <a:off x="320929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9335</xdr:colOff>
      <xdr:row>22</xdr:row>
      <xdr:rowOff>0</xdr:rowOff>
    </xdr:to>
    <xdr:cxnSp>
      <xdr:nvCxnSpPr>
        <xdr:cNvPr id="7" name="line"/>
        <xdr:cNvCxnSpPr/>
      </xdr:nvCxnSpPr>
      <xdr:spPr>
        <a:xfrm flipH="1">
          <a:off x="7040880" y="4845685"/>
          <a:ext cx="889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8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11906</xdr:rowOff>
    </xdr:to>
    <xdr:cxnSp>
      <xdr:nvCxnSpPr>
        <xdr:cNvPr id="9" name="line"/>
        <xdr:cNvCxnSpPr/>
      </xdr:nvCxnSpPr>
      <xdr:spPr>
        <a:xfrm>
          <a:off x="7040880" y="6814820"/>
          <a:ext cx="0" cy="23495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9335</xdr:colOff>
      <xdr:row>31</xdr:row>
      <xdr:rowOff>0</xdr:rowOff>
    </xdr:from>
    <xdr:to>
      <xdr:col>5</xdr:col>
      <xdr:colOff>9335</xdr:colOff>
      <xdr:row>31</xdr:row>
      <xdr:rowOff>0</xdr:rowOff>
    </xdr:to>
    <xdr:cxnSp>
      <xdr:nvCxnSpPr>
        <xdr:cNvPr id="10" name="line"/>
        <xdr:cNvCxnSpPr/>
      </xdr:nvCxnSpPr>
      <xdr:spPr>
        <a:xfrm>
          <a:off x="320929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9335</xdr:colOff>
      <xdr:row>22</xdr:row>
      <xdr:rowOff>0</xdr:rowOff>
    </xdr:to>
    <xdr:cxnSp>
      <xdr:nvCxnSpPr>
        <xdr:cNvPr id="11" name="line"/>
        <xdr:cNvCxnSpPr/>
      </xdr:nvCxnSpPr>
      <xdr:spPr>
        <a:xfrm flipH="1">
          <a:off x="7040880" y="4845685"/>
          <a:ext cx="889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12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560070</xdr:colOff>
      <xdr:row>31</xdr:row>
      <xdr:rowOff>0</xdr:rowOff>
    </xdr:from>
    <xdr:to>
      <xdr:col>1</xdr:col>
      <xdr:colOff>560070</xdr:colOff>
      <xdr:row>31</xdr:row>
      <xdr:rowOff>0</xdr:rowOff>
    </xdr:to>
    <xdr:cxnSp>
      <xdr:nvCxnSpPr>
        <xdr:cNvPr id="13" name="line"/>
        <xdr:cNvCxnSpPr/>
      </xdr:nvCxnSpPr>
      <xdr:spPr>
        <a:xfrm>
          <a:off x="120015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560070</xdr:colOff>
      <xdr:row>31</xdr:row>
      <xdr:rowOff>0</xdr:rowOff>
    </xdr:from>
    <xdr:to>
      <xdr:col>1</xdr:col>
      <xdr:colOff>560070</xdr:colOff>
      <xdr:row>31</xdr:row>
      <xdr:rowOff>0</xdr:rowOff>
    </xdr:to>
    <xdr:cxnSp>
      <xdr:nvCxnSpPr>
        <xdr:cNvPr id="14" name="line"/>
        <xdr:cNvCxnSpPr/>
      </xdr:nvCxnSpPr>
      <xdr:spPr>
        <a:xfrm>
          <a:off x="120015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560070</xdr:colOff>
      <xdr:row>31</xdr:row>
      <xdr:rowOff>0</xdr:rowOff>
    </xdr:from>
    <xdr:to>
      <xdr:col>1</xdr:col>
      <xdr:colOff>560070</xdr:colOff>
      <xdr:row>31</xdr:row>
      <xdr:rowOff>0</xdr:rowOff>
    </xdr:to>
    <xdr:cxnSp>
      <xdr:nvCxnSpPr>
        <xdr:cNvPr id="15" name="line"/>
        <xdr:cNvCxnSpPr/>
      </xdr:nvCxnSpPr>
      <xdr:spPr>
        <a:xfrm>
          <a:off x="120015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560070</xdr:colOff>
      <xdr:row>32</xdr:row>
      <xdr:rowOff>0</xdr:rowOff>
    </xdr:from>
    <xdr:to>
      <xdr:col>1</xdr:col>
      <xdr:colOff>560070</xdr:colOff>
      <xdr:row>32</xdr:row>
      <xdr:rowOff>0</xdr:rowOff>
    </xdr:to>
    <xdr:cxnSp>
      <xdr:nvCxnSpPr>
        <xdr:cNvPr id="16" name="line"/>
        <xdr:cNvCxnSpPr/>
      </xdr:nvCxnSpPr>
      <xdr:spPr>
        <a:xfrm>
          <a:off x="120015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560070</xdr:colOff>
      <xdr:row>32</xdr:row>
      <xdr:rowOff>0</xdr:rowOff>
    </xdr:from>
    <xdr:to>
      <xdr:col>1</xdr:col>
      <xdr:colOff>560070</xdr:colOff>
      <xdr:row>32</xdr:row>
      <xdr:rowOff>0</xdr:rowOff>
    </xdr:to>
    <xdr:cxnSp>
      <xdr:nvCxnSpPr>
        <xdr:cNvPr id="17" name="line"/>
        <xdr:cNvCxnSpPr/>
      </xdr:nvCxnSpPr>
      <xdr:spPr>
        <a:xfrm>
          <a:off x="120015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4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5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6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7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7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7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7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7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799" name="Line 2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50</xdr:row>
      <xdr:rowOff>0</xdr:rowOff>
    </xdr:from>
    <xdr:to>
      <xdr:col>5</xdr:col>
      <xdr:colOff>8890</xdr:colOff>
      <xdr:row>50</xdr:row>
      <xdr:rowOff>0</xdr:rowOff>
    </xdr:to>
    <xdr:sp>
      <xdr:nvSpPr>
        <xdr:cNvPr id="2416800" name="Line 3"/>
        <xdr:cNvSpPr/>
      </xdr:nvSpPr>
      <xdr:spPr>
        <a:xfrm>
          <a:off x="320929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8890</xdr:colOff>
      <xdr:row>50</xdr:row>
      <xdr:rowOff>8890</xdr:rowOff>
    </xdr:to>
    <xdr:sp>
      <xdr:nvSpPr>
        <xdr:cNvPr id="2416801" name="Line 5"/>
        <xdr:cNvSpPr/>
      </xdr:nvSpPr>
      <xdr:spPr>
        <a:xfrm flipH="1">
          <a:off x="0" y="1140650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50</xdr:row>
      <xdr:rowOff>0</xdr:rowOff>
    </xdr:from>
    <xdr:to>
      <xdr:col>5</xdr:col>
      <xdr:colOff>8890</xdr:colOff>
      <xdr:row>50</xdr:row>
      <xdr:rowOff>0</xdr:rowOff>
    </xdr:to>
    <xdr:sp>
      <xdr:nvSpPr>
        <xdr:cNvPr id="2416802" name="Line 8"/>
        <xdr:cNvSpPr/>
      </xdr:nvSpPr>
      <xdr:spPr>
        <a:xfrm>
          <a:off x="320929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8890</xdr:colOff>
      <xdr:row>50</xdr:row>
      <xdr:rowOff>8890</xdr:rowOff>
    </xdr:to>
    <xdr:sp>
      <xdr:nvSpPr>
        <xdr:cNvPr id="2416803" name="Line 10"/>
        <xdr:cNvSpPr/>
      </xdr:nvSpPr>
      <xdr:spPr>
        <a:xfrm flipH="1">
          <a:off x="0" y="1140650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50</xdr:row>
      <xdr:rowOff>0</xdr:rowOff>
    </xdr:from>
    <xdr:to>
      <xdr:col>5</xdr:col>
      <xdr:colOff>8890</xdr:colOff>
      <xdr:row>50</xdr:row>
      <xdr:rowOff>0</xdr:rowOff>
    </xdr:to>
    <xdr:sp>
      <xdr:nvSpPr>
        <xdr:cNvPr id="2416804" name="Line 13"/>
        <xdr:cNvSpPr/>
      </xdr:nvSpPr>
      <xdr:spPr>
        <a:xfrm>
          <a:off x="320929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8890</xdr:colOff>
      <xdr:row>50</xdr:row>
      <xdr:rowOff>8890</xdr:rowOff>
    </xdr:to>
    <xdr:sp>
      <xdr:nvSpPr>
        <xdr:cNvPr id="2416805" name="Line 15"/>
        <xdr:cNvSpPr/>
      </xdr:nvSpPr>
      <xdr:spPr>
        <a:xfrm flipH="1">
          <a:off x="0" y="1140650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06" name="Line 19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07" name="Line 20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08" name="Line 21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6809" name="Line 22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6810" name="Line 23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11" name="Line 24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12" name="Line 25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13" name="Line 26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14" name="Line 27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15" name="Line 28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16" name="Line 29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17" name="Line 30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18" name="Line 31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19" name="Line 32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20" name="Line 33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21" name="Line 34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6822" name="Line 35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6823" name="Line 36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6824" name="Line 37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25" name="Line 38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26" name="Line 39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27" name="Line 40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28" name="Line 41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29" name="Line 42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0" name="Line 43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1" name="Line 44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2" name="Line 45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3" name="Line 46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4" name="Line 47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5" name="Line 48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6" name="Line 49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7" name="Line 50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8" name="Line 51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39" name="Line 52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40" name="Line 53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6841" name="Line 54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69</xdr:row>
      <xdr:rowOff>0</xdr:rowOff>
    </xdr:from>
    <xdr:to>
      <xdr:col>5</xdr:col>
      <xdr:colOff>8890</xdr:colOff>
      <xdr:row>69</xdr:row>
      <xdr:rowOff>0</xdr:rowOff>
    </xdr:to>
    <xdr:sp>
      <xdr:nvSpPr>
        <xdr:cNvPr id="2416842" name="Line 3"/>
        <xdr:cNvSpPr/>
      </xdr:nvSpPr>
      <xdr:spPr>
        <a:xfrm>
          <a:off x="320929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8890</xdr:colOff>
      <xdr:row>60</xdr:row>
      <xdr:rowOff>0</xdr:rowOff>
    </xdr:to>
    <xdr:sp>
      <xdr:nvSpPr>
        <xdr:cNvPr id="2416843" name="Line 4"/>
        <xdr:cNvSpPr/>
      </xdr:nvSpPr>
      <xdr:spPr>
        <a:xfrm flipH="1">
          <a:off x="7040880" y="13576935"/>
          <a:ext cx="8890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8890</xdr:colOff>
      <xdr:row>69</xdr:row>
      <xdr:rowOff>8890</xdr:rowOff>
    </xdr:to>
    <xdr:sp>
      <xdr:nvSpPr>
        <xdr:cNvPr id="2416844" name="Line 5"/>
        <xdr:cNvSpPr/>
      </xdr:nvSpPr>
      <xdr:spPr>
        <a:xfrm flipH="1">
          <a:off x="0" y="1576959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69</xdr:row>
      <xdr:rowOff>0</xdr:rowOff>
    </xdr:from>
    <xdr:to>
      <xdr:col>5</xdr:col>
      <xdr:colOff>8890</xdr:colOff>
      <xdr:row>69</xdr:row>
      <xdr:rowOff>0</xdr:rowOff>
    </xdr:to>
    <xdr:sp>
      <xdr:nvSpPr>
        <xdr:cNvPr id="2416845" name="Line 8"/>
        <xdr:cNvSpPr/>
      </xdr:nvSpPr>
      <xdr:spPr>
        <a:xfrm>
          <a:off x="320929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8890</xdr:colOff>
      <xdr:row>60</xdr:row>
      <xdr:rowOff>0</xdr:rowOff>
    </xdr:to>
    <xdr:sp>
      <xdr:nvSpPr>
        <xdr:cNvPr id="2416846" name="Line 9"/>
        <xdr:cNvSpPr/>
      </xdr:nvSpPr>
      <xdr:spPr>
        <a:xfrm flipH="1">
          <a:off x="7040880" y="13576935"/>
          <a:ext cx="8890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8890</xdr:colOff>
      <xdr:row>69</xdr:row>
      <xdr:rowOff>8890</xdr:rowOff>
    </xdr:to>
    <xdr:sp>
      <xdr:nvSpPr>
        <xdr:cNvPr id="2416847" name="Line 10"/>
        <xdr:cNvSpPr/>
      </xdr:nvSpPr>
      <xdr:spPr>
        <a:xfrm flipH="1">
          <a:off x="0" y="1576959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69</xdr:row>
      <xdr:rowOff>0</xdr:rowOff>
    </xdr:from>
    <xdr:to>
      <xdr:col>2</xdr:col>
      <xdr:colOff>0</xdr:colOff>
      <xdr:row>69</xdr:row>
      <xdr:rowOff>8890</xdr:rowOff>
    </xdr:to>
    <xdr:sp>
      <xdr:nvSpPr>
        <xdr:cNvPr id="2416848" name="Line 13"/>
        <xdr:cNvSpPr/>
      </xdr:nvSpPr>
      <xdr:spPr>
        <a:xfrm>
          <a:off x="1129030" y="1576959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69</xdr:row>
      <xdr:rowOff>0</xdr:rowOff>
    </xdr:from>
    <xdr:to>
      <xdr:col>2</xdr:col>
      <xdr:colOff>0</xdr:colOff>
      <xdr:row>69</xdr:row>
      <xdr:rowOff>8890</xdr:rowOff>
    </xdr:to>
    <xdr:sp>
      <xdr:nvSpPr>
        <xdr:cNvPr id="2416849" name="Line 14"/>
        <xdr:cNvSpPr/>
      </xdr:nvSpPr>
      <xdr:spPr>
        <a:xfrm>
          <a:off x="1129030" y="1576959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70</xdr:row>
      <xdr:rowOff>0</xdr:rowOff>
    </xdr:from>
    <xdr:to>
      <xdr:col>2</xdr:col>
      <xdr:colOff>0</xdr:colOff>
      <xdr:row>70</xdr:row>
      <xdr:rowOff>8890</xdr:rowOff>
    </xdr:to>
    <xdr:sp>
      <xdr:nvSpPr>
        <xdr:cNvPr id="2416850" name="Line 15"/>
        <xdr:cNvSpPr/>
      </xdr:nvSpPr>
      <xdr:spPr>
        <a:xfrm>
          <a:off x="1129030" y="1595056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70</xdr:row>
      <xdr:rowOff>0</xdr:rowOff>
    </xdr:from>
    <xdr:to>
      <xdr:col>2</xdr:col>
      <xdr:colOff>0</xdr:colOff>
      <xdr:row>70</xdr:row>
      <xdr:rowOff>8890</xdr:rowOff>
    </xdr:to>
    <xdr:sp>
      <xdr:nvSpPr>
        <xdr:cNvPr id="2416851" name="Line 16"/>
        <xdr:cNvSpPr/>
      </xdr:nvSpPr>
      <xdr:spPr>
        <a:xfrm>
          <a:off x="1129030" y="1595056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2" name="Line 1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3" name="Line 1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4" name="Line 1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5" name="Line 2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6" name="Line 2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7" name="Line 2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8" name="Line 2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59" name="Line 2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0" name="Line 2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1" name="Line 2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2" name="Line 2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3" name="Line 2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4" name="Line 2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5" name="Line 3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6" name="Line 3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7" name="Line 3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8" name="Line 3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69" name="Line 3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0" name="Line 3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1" name="Line 3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2" name="Line 3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3" name="Line 3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4" name="Line 3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5" name="Line 4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6" name="Line 4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7" name="Line 4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8" name="Line 4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79" name="Line 4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0" name="Line 4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1" name="Line 4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2" name="Line 4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3" name="Line 4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4" name="Line 4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5" name="Line 5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6" name="Line 5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7" name="Line 5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8" name="Line 5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89" name="Line 5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0" name="Line 5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1" name="Line 5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2" name="Line 5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3" name="Line 5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4" name="Line 5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5" name="Line 6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6" name="Line 6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7" name="Line 6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8" name="Line 6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899" name="Line 6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00" name="Line 6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01" name="Line 6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02" name="Line 6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03" name="Line 6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16904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1093470</xdr:colOff>
      <xdr:row>31</xdr:row>
      <xdr:rowOff>0</xdr:rowOff>
    </xdr:from>
    <xdr:to>
      <xdr:col>1</xdr:col>
      <xdr:colOff>1093470</xdr:colOff>
      <xdr:row>31</xdr:row>
      <xdr:rowOff>8890</xdr:rowOff>
    </xdr:to>
    <xdr:sp>
      <xdr:nvSpPr>
        <xdr:cNvPr id="2416905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8890</xdr:colOff>
      <xdr:row>31</xdr:row>
      <xdr:rowOff>8890</xdr:rowOff>
    </xdr:to>
    <xdr:sp>
      <xdr:nvSpPr>
        <xdr:cNvPr id="2416906" name="Line 4"/>
        <xdr:cNvSpPr/>
      </xdr:nvSpPr>
      <xdr:spPr>
        <a:xfrm flipH="1">
          <a:off x="0" y="703834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6907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31</xdr:row>
      <xdr:rowOff>0</xdr:rowOff>
    </xdr:from>
    <xdr:to>
      <xdr:col>5</xdr:col>
      <xdr:colOff>8890</xdr:colOff>
      <xdr:row>31</xdr:row>
      <xdr:rowOff>0</xdr:rowOff>
    </xdr:to>
    <xdr:sp>
      <xdr:nvSpPr>
        <xdr:cNvPr id="2416908" name="Line 7"/>
        <xdr:cNvSpPr/>
      </xdr:nvSpPr>
      <xdr:spPr>
        <a:xfrm>
          <a:off x="3209290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8890</xdr:colOff>
      <xdr:row>22</xdr:row>
      <xdr:rowOff>0</xdr:rowOff>
    </xdr:to>
    <xdr:sp>
      <xdr:nvSpPr>
        <xdr:cNvPr id="2416909" name="Line 8"/>
        <xdr:cNvSpPr/>
      </xdr:nvSpPr>
      <xdr:spPr>
        <a:xfrm flipH="1">
          <a:off x="7040880" y="4845685"/>
          <a:ext cx="8890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8890</xdr:colOff>
      <xdr:row>31</xdr:row>
      <xdr:rowOff>8890</xdr:rowOff>
    </xdr:to>
    <xdr:sp>
      <xdr:nvSpPr>
        <xdr:cNvPr id="2416910" name="Line 9"/>
        <xdr:cNvSpPr/>
      </xdr:nvSpPr>
      <xdr:spPr>
        <a:xfrm flipH="1">
          <a:off x="0" y="703834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6911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31</xdr:row>
      <xdr:rowOff>0</xdr:rowOff>
    </xdr:from>
    <xdr:to>
      <xdr:col>5</xdr:col>
      <xdr:colOff>8890</xdr:colOff>
      <xdr:row>31</xdr:row>
      <xdr:rowOff>0</xdr:rowOff>
    </xdr:to>
    <xdr:sp>
      <xdr:nvSpPr>
        <xdr:cNvPr id="2416912" name="Line 12"/>
        <xdr:cNvSpPr/>
      </xdr:nvSpPr>
      <xdr:spPr>
        <a:xfrm>
          <a:off x="3209290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8890</xdr:colOff>
      <xdr:row>22</xdr:row>
      <xdr:rowOff>0</xdr:rowOff>
    </xdr:to>
    <xdr:sp>
      <xdr:nvSpPr>
        <xdr:cNvPr id="2416913" name="Line 13"/>
        <xdr:cNvSpPr/>
      </xdr:nvSpPr>
      <xdr:spPr>
        <a:xfrm flipH="1">
          <a:off x="7040880" y="4845685"/>
          <a:ext cx="8890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8890</xdr:colOff>
      <xdr:row>31</xdr:row>
      <xdr:rowOff>8890</xdr:rowOff>
    </xdr:to>
    <xdr:sp>
      <xdr:nvSpPr>
        <xdr:cNvPr id="2416914" name="Line 14"/>
        <xdr:cNvSpPr/>
      </xdr:nvSpPr>
      <xdr:spPr>
        <a:xfrm flipH="1">
          <a:off x="0" y="703834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1093470</xdr:colOff>
      <xdr:row>31</xdr:row>
      <xdr:rowOff>0</xdr:rowOff>
    </xdr:from>
    <xdr:to>
      <xdr:col>1</xdr:col>
      <xdr:colOff>1093470</xdr:colOff>
      <xdr:row>31</xdr:row>
      <xdr:rowOff>8890</xdr:rowOff>
    </xdr:to>
    <xdr:sp>
      <xdr:nvSpPr>
        <xdr:cNvPr id="2416915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1093470</xdr:colOff>
      <xdr:row>31</xdr:row>
      <xdr:rowOff>0</xdr:rowOff>
    </xdr:from>
    <xdr:to>
      <xdr:col>1</xdr:col>
      <xdr:colOff>1093470</xdr:colOff>
      <xdr:row>31</xdr:row>
      <xdr:rowOff>8890</xdr:rowOff>
    </xdr:to>
    <xdr:sp>
      <xdr:nvSpPr>
        <xdr:cNvPr id="2416916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1093470</xdr:colOff>
      <xdr:row>31</xdr:row>
      <xdr:rowOff>0</xdr:rowOff>
    </xdr:from>
    <xdr:to>
      <xdr:col>1</xdr:col>
      <xdr:colOff>1093470</xdr:colOff>
      <xdr:row>31</xdr:row>
      <xdr:rowOff>8890</xdr:rowOff>
    </xdr:to>
    <xdr:sp>
      <xdr:nvSpPr>
        <xdr:cNvPr id="2416917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1093470</xdr:colOff>
      <xdr:row>32</xdr:row>
      <xdr:rowOff>0</xdr:rowOff>
    </xdr:from>
    <xdr:to>
      <xdr:col>1</xdr:col>
      <xdr:colOff>1093470</xdr:colOff>
      <xdr:row>32</xdr:row>
      <xdr:rowOff>8890</xdr:rowOff>
    </xdr:to>
    <xdr:sp>
      <xdr:nvSpPr>
        <xdr:cNvPr id="2416918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1093470</xdr:colOff>
      <xdr:row>32</xdr:row>
      <xdr:rowOff>0</xdr:rowOff>
    </xdr:from>
    <xdr:to>
      <xdr:col>1</xdr:col>
      <xdr:colOff>1093470</xdr:colOff>
      <xdr:row>32</xdr:row>
      <xdr:rowOff>8890</xdr:rowOff>
    </xdr:to>
    <xdr:sp>
      <xdr:nvSpPr>
        <xdr:cNvPr id="2416919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0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1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2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3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4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5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6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7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8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29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0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1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2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3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4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5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6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7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8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39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0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1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2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3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4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5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6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7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8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49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0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1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2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3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4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5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6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7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8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59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0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1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2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3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4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5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6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7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8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69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0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1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2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3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4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5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6976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69</xdr:row>
      <xdr:rowOff>0</xdr:rowOff>
    </xdr:from>
    <xdr:to>
      <xdr:col>5</xdr:col>
      <xdr:colOff>8890</xdr:colOff>
      <xdr:row>69</xdr:row>
      <xdr:rowOff>0</xdr:rowOff>
    </xdr:to>
    <xdr:sp>
      <xdr:nvSpPr>
        <xdr:cNvPr id="2416977" name="Line 3"/>
        <xdr:cNvSpPr/>
      </xdr:nvSpPr>
      <xdr:spPr>
        <a:xfrm>
          <a:off x="320929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8890</xdr:colOff>
      <xdr:row>60</xdr:row>
      <xdr:rowOff>0</xdr:rowOff>
    </xdr:to>
    <xdr:sp>
      <xdr:nvSpPr>
        <xdr:cNvPr id="2416978" name="Line 4"/>
        <xdr:cNvSpPr/>
      </xdr:nvSpPr>
      <xdr:spPr>
        <a:xfrm flipH="1">
          <a:off x="7040880" y="13576935"/>
          <a:ext cx="8890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8890</xdr:colOff>
      <xdr:row>69</xdr:row>
      <xdr:rowOff>8890</xdr:rowOff>
    </xdr:to>
    <xdr:sp>
      <xdr:nvSpPr>
        <xdr:cNvPr id="2416979" name="Line 5"/>
        <xdr:cNvSpPr/>
      </xdr:nvSpPr>
      <xdr:spPr>
        <a:xfrm flipH="1">
          <a:off x="0" y="1576959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69</xdr:row>
      <xdr:rowOff>0</xdr:rowOff>
    </xdr:from>
    <xdr:to>
      <xdr:col>5</xdr:col>
      <xdr:colOff>8890</xdr:colOff>
      <xdr:row>69</xdr:row>
      <xdr:rowOff>0</xdr:rowOff>
    </xdr:to>
    <xdr:sp>
      <xdr:nvSpPr>
        <xdr:cNvPr id="2416980" name="Line 8"/>
        <xdr:cNvSpPr/>
      </xdr:nvSpPr>
      <xdr:spPr>
        <a:xfrm>
          <a:off x="320929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8890</xdr:colOff>
      <xdr:row>60</xdr:row>
      <xdr:rowOff>0</xdr:rowOff>
    </xdr:to>
    <xdr:sp>
      <xdr:nvSpPr>
        <xdr:cNvPr id="2416981" name="Line 9"/>
        <xdr:cNvSpPr/>
      </xdr:nvSpPr>
      <xdr:spPr>
        <a:xfrm flipH="1">
          <a:off x="7040880" y="13576935"/>
          <a:ext cx="8890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8890</xdr:colOff>
      <xdr:row>69</xdr:row>
      <xdr:rowOff>8890</xdr:rowOff>
    </xdr:to>
    <xdr:sp>
      <xdr:nvSpPr>
        <xdr:cNvPr id="2416982" name="Line 10"/>
        <xdr:cNvSpPr/>
      </xdr:nvSpPr>
      <xdr:spPr>
        <a:xfrm flipH="1">
          <a:off x="0" y="15769590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69</xdr:row>
      <xdr:rowOff>0</xdr:rowOff>
    </xdr:from>
    <xdr:to>
      <xdr:col>2</xdr:col>
      <xdr:colOff>0</xdr:colOff>
      <xdr:row>69</xdr:row>
      <xdr:rowOff>8890</xdr:rowOff>
    </xdr:to>
    <xdr:sp>
      <xdr:nvSpPr>
        <xdr:cNvPr id="2416983" name="Line 13"/>
        <xdr:cNvSpPr/>
      </xdr:nvSpPr>
      <xdr:spPr>
        <a:xfrm>
          <a:off x="1129030" y="1576959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69</xdr:row>
      <xdr:rowOff>0</xdr:rowOff>
    </xdr:from>
    <xdr:to>
      <xdr:col>2</xdr:col>
      <xdr:colOff>0</xdr:colOff>
      <xdr:row>69</xdr:row>
      <xdr:rowOff>8890</xdr:rowOff>
    </xdr:to>
    <xdr:sp>
      <xdr:nvSpPr>
        <xdr:cNvPr id="2416984" name="Line 14"/>
        <xdr:cNvSpPr/>
      </xdr:nvSpPr>
      <xdr:spPr>
        <a:xfrm>
          <a:off x="1129030" y="1576959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70</xdr:row>
      <xdr:rowOff>0</xdr:rowOff>
    </xdr:from>
    <xdr:to>
      <xdr:col>2</xdr:col>
      <xdr:colOff>0</xdr:colOff>
      <xdr:row>70</xdr:row>
      <xdr:rowOff>8890</xdr:rowOff>
    </xdr:to>
    <xdr:sp>
      <xdr:nvSpPr>
        <xdr:cNvPr id="2416985" name="Line 15"/>
        <xdr:cNvSpPr/>
      </xdr:nvSpPr>
      <xdr:spPr>
        <a:xfrm>
          <a:off x="1129030" y="1595056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70</xdr:row>
      <xdr:rowOff>0</xdr:rowOff>
    </xdr:from>
    <xdr:to>
      <xdr:col>2</xdr:col>
      <xdr:colOff>0</xdr:colOff>
      <xdr:row>70</xdr:row>
      <xdr:rowOff>8890</xdr:rowOff>
    </xdr:to>
    <xdr:sp>
      <xdr:nvSpPr>
        <xdr:cNvPr id="2416986" name="Line 16"/>
        <xdr:cNvSpPr/>
      </xdr:nvSpPr>
      <xdr:spPr>
        <a:xfrm>
          <a:off x="1129030" y="1595056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87" name="Line 1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88" name="Line 1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89" name="Line 1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0" name="Line 2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1" name="Line 2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2" name="Line 2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3" name="Line 2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4" name="Line 2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5" name="Line 2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6" name="Line 2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7" name="Line 2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8" name="Line 2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6999" name="Line 2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0" name="Line 3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1" name="Line 3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2" name="Line 3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3" name="Line 3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4" name="Line 3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5" name="Line 3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6" name="Line 3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7" name="Line 3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8" name="Line 3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09" name="Line 3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0" name="Line 4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1" name="Line 4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2" name="Line 4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3" name="Line 4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4" name="Line 4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5" name="Line 4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6" name="Line 4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7" name="Line 4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8" name="Line 4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19" name="Line 4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0" name="Line 5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1" name="Line 5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2" name="Line 5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3" name="Line 5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4" name="Line 5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5" name="Line 5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6" name="Line 5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7" name="Line 5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8" name="Line 5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29" name="Line 59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0" name="Line 60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1" name="Line 61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2" name="Line 62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3" name="Line 63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4" name="Line 64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5" name="Line 65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6" name="Line 66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7" name="Line 67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28575</xdr:rowOff>
    </xdr:to>
    <xdr:sp>
      <xdr:nvSpPr>
        <xdr:cNvPr id="2417038" name="Line 68"/>
        <xdr:cNvSpPr/>
      </xdr:nvSpPr>
      <xdr:spPr>
        <a:xfrm>
          <a:off x="7040880" y="1576959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39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7040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8890</xdr:colOff>
      <xdr:row>12</xdr:row>
      <xdr:rowOff>8890</xdr:rowOff>
    </xdr:to>
    <xdr:sp>
      <xdr:nvSpPr>
        <xdr:cNvPr id="2417041" name="Line 5"/>
        <xdr:cNvSpPr/>
      </xdr:nvSpPr>
      <xdr:spPr>
        <a:xfrm flipH="1">
          <a:off x="0" y="267525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7042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8890</xdr:colOff>
      <xdr:row>12</xdr:row>
      <xdr:rowOff>8890</xdr:rowOff>
    </xdr:to>
    <xdr:sp>
      <xdr:nvSpPr>
        <xdr:cNvPr id="2417043" name="Line 10"/>
        <xdr:cNvSpPr/>
      </xdr:nvSpPr>
      <xdr:spPr>
        <a:xfrm flipH="1">
          <a:off x="0" y="267525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7044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8890</xdr:colOff>
      <xdr:row>12</xdr:row>
      <xdr:rowOff>8890</xdr:rowOff>
    </xdr:to>
    <xdr:sp>
      <xdr:nvSpPr>
        <xdr:cNvPr id="2417045" name="Line 15"/>
        <xdr:cNvSpPr/>
      </xdr:nvSpPr>
      <xdr:spPr>
        <a:xfrm flipH="1">
          <a:off x="0" y="267525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46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47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48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7049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7050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51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52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53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54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55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56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57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58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59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60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61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7062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7063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7064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65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66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67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68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69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0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1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2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3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4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5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6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7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8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79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80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7081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82" name="Line 2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50</xdr:row>
      <xdr:rowOff>0</xdr:rowOff>
    </xdr:from>
    <xdr:to>
      <xdr:col>5</xdr:col>
      <xdr:colOff>8890</xdr:colOff>
      <xdr:row>50</xdr:row>
      <xdr:rowOff>0</xdr:rowOff>
    </xdr:to>
    <xdr:sp>
      <xdr:nvSpPr>
        <xdr:cNvPr id="2417083" name="Line 3"/>
        <xdr:cNvSpPr/>
      </xdr:nvSpPr>
      <xdr:spPr>
        <a:xfrm>
          <a:off x="320929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8890</xdr:colOff>
      <xdr:row>50</xdr:row>
      <xdr:rowOff>8890</xdr:rowOff>
    </xdr:to>
    <xdr:sp>
      <xdr:nvSpPr>
        <xdr:cNvPr id="2417084" name="Line 5"/>
        <xdr:cNvSpPr/>
      </xdr:nvSpPr>
      <xdr:spPr>
        <a:xfrm flipH="1">
          <a:off x="0" y="1140650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50</xdr:row>
      <xdr:rowOff>0</xdr:rowOff>
    </xdr:from>
    <xdr:to>
      <xdr:col>5</xdr:col>
      <xdr:colOff>8890</xdr:colOff>
      <xdr:row>50</xdr:row>
      <xdr:rowOff>0</xdr:rowOff>
    </xdr:to>
    <xdr:sp>
      <xdr:nvSpPr>
        <xdr:cNvPr id="2417085" name="Line 8"/>
        <xdr:cNvSpPr/>
      </xdr:nvSpPr>
      <xdr:spPr>
        <a:xfrm>
          <a:off x="320929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8890</xdr:colOff>
      <xdr:row>50</xdr:row>
      <xdr:rowOff>8890</xdr:rowOff>
    </xdr:to>
    <xdr:sp>
      <xdr:nvSpPr>
        <xdr:cNvPr id="2417086" name="Line 10"/>
        <xdr:cNvSpPr/>
      </xdr:nvSpPr>
      <xdr:spPr>
        <a:xfrm flipH="1">
          <a:off x="0" y="1140650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50</xdr:row>
      <xdr:rowOff>0</xdr:rowOff>
    </xdr:from>
    <xdr:to>
      <xdr:col>5</xdr:col>
      <xdr:colOff>8890</xdr:colOff>
      <xdr:row>50</xdr:row>
      <xdr:rowOff>0</xdr:rowOff>
    </xdr:to>
    <xdr:sp>
      <xdr:nvSpPr>
        <xdr:cNvPr id="2417087" name="Line 13"/>
        <xdr:cNvSpPr/>
      </xdr:nvSpPr>
      <xdr:spPr>
        <a:xfrm>
          <a:off x="320929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8890</xdr:colOff>
      <xdr:row>50</xdr:row>
      <xdr:rowOff>8890</xdr:rowOff>
    </xdr:to>
    <xdr:sp>
      <xdr:nvSpPr>
        <xdr:cNvPr id="2417088" name="Line 15"/>
        <xdr:cNvSpPr/>
      </xdr:nvSpPr>
      <xdr:spPr>
        <a:xfrm flipH="1">
          <a:off x="0" y="11406505"/>
          <a:ext cx="889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089" name="Line 19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090" name="Line 20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091" name="Line 21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7092" name="Line 22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7093" name="Line 23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94" name="Line 24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95" name="Line 25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96" name="Line 26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97" name="Line 27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98" name="Line 28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099" name="Line 29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100" name="Line 30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101" name="Line 31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102" name="Line 32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103" name="Line 33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104" name="Line 34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50</xdr:row>
      <xdr:rowOff>0</xdr:rowOff>
    </xdr:from>
    <xdr:to>
      <xdr:col>2</xdr:col>
      <xdr:colOff>0</xdr:colOff>
      <xdr:row>50</xdr:row>
      <xdr:rowOff>8890</xdr:rowOff>
    </xdr:to>
    <xdr:sp>
      <xdr:nvSpPr>
        <xdr:cNvPr id="2417105" name="Line 35"/>
        <xdr:cNvSpPr/>
      </xdr:nvSpPr>
      <xdr:spPr>
        <a:xfrm>
          <a:off x="1129030" y="1140650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7106" name="Line 36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51</xdr:row>
      <xdr:rowOff>0</xdr:rowOff>
    </xdr:from>
    <xdr:to>
      <xdr:col>2</xdr:col>
      <xdr:colOff>0</xdr:colOff>
      <xdr:row>51</xdr:row>
      <xdr:rowOff>8890</xdr:rowOff>
    </xdr:to>
    <xdr:sp>
      <xdr:nvSpPr>
        <xdr:cNvPr id="2417107" name="Line 37"/>
        <xdr:cNvSpPr/>
      </xdr:nvSpPr>
      <xdr:spPr>
        <a:xfrm>
          <a:off x="1129030" y="1158748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08" name="Line 38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09" name="Line 39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0" name="Line 40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1" name="Line 41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2" name="Line 42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3" name="Line 43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4" name="Line 44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5" name="Line 45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6" name="Line 46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7" name="Line 47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8" name="Line 48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19" name="Line 49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20" name="Line 50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21" name="Line 51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22" name="Line 52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23" name="Line 53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28575</xdr:rowOff>
    </xdr:to>
    <xdr:sp>
      <xdr:nvSpPr>
        <xdr:cNvPr id="2417124" name="Line 54"/>
        <xdr:cNvSpPr/>
      </xdr:nvSpPr>
      <xdr:spPr>
        <a:xfrm>
          <a:off x="7040880" y="1140650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2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12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12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12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12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13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13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3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3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3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13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13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3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3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3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4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4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4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4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4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4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4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4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14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14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15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5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16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76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7006</xdr:colOff>
      <xdr:row>31</xdr:row>
      <xdr:rowOff>0</xdr:rowOff>
    </xdr:to>
    <xdr:cxnSp>
      <xdr:nvCxnSpPr>
        <xdr:cNvPr id="7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8751</xdr:colOff>
      <xdr:row>31</xdr:row>
      <xdr:rowOff>0</xdr:rowOff>
    </xdr:from>
    <xdr:to>
      <xdr:col>5</xdr:col>
      <xdr:colOff>8751</xdr:colOff>
      <xdr:row>31</xdr:row>
      <xdr:rowOff>0</xdr:rowOff>
    </xdr:to>
    <xdr:cxnSp>
      <xdr:nvCxnSpPr>
        <xdr:cNvPr id="7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8751</xdr:colOff>
      <xdr:row>22</xdr:row>
      <xdr:rowOff>0</xdr:rowOff>
    </xdr:to>
    <xdr:cxnSp>
      <xdr:nvCxnSpPr>
        <xdr:cNvPr id="8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7006</xdr:colOff>
      <xdr:row>31</xdr:row>
      <xdr:rowOff>0</xdr:rowOff>
    </xdr:to>
    <xdr:cxnSp>
      <xdr:nvCxnSpPr>
        <xdr:cNvPr id="8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8751</xdr:colOff>
      <xdr:row>31</xdr:row>
      <xdr:rowOff>0</xdr:rowOff>
    </xdr:from>
    <xdr:to>
      <xdr:col>5</xdr:col>
      <xdr:colOff>8751</xdr:colOff>
      <xdr:row>31</xdr:row>
      <xdr:rowOff>0</xdr:rowOff>
    </xdr:to>
    <xdr:cxnSp>
      <xdr:nvCxnSpPr>
        <xdr:cNvPr id="8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8751</xdr:colOff>
      <xdr:row>22</xdr:row>
      <xdr:rowOff>0</xdr:rowOff>
    </xdr:to>
    <xdr:cxnSp>
      <xdr:nvCxnSpPr>
        <xdr:cNvPr id="8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7006</xdr:colOff>
      <xdr:row>31</xdr:row>
      <xdr:rowOff>0</xdr:rowOff>
    </xdr:to>
    <xdr:cxnSp>
      <xdr:nvCxnSpPr>
        <xdr:cNvPr id="8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86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87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88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32</xdr:row>
      <xdr:rowOff>0</xdr:rowOff>
    </xdr:from>
    <xdr:to>
      <xdr:col>1</xdr:col>
      <xdr:colOff>596292</xdr:colOff>
      <xdr:row>32</xdr:row>
      <xdr:rowOff>0</xdr:rowOff>
    </xdr:to>
    <xdr:cxnSp>
      <xdr:nvCxnSpPr>
        <xdr:cNvPr id="89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32</xdr:row>
      <xdr:rowOff>0</xdr:rowOff>
    </xdr:from>
    <xdr:to>
      <xdr:col>1</xdr:col>
      <xdr:colOff>596292</xdr:colOff>
      <xdr:row>32</xdr:row>
      <xdr:rowOff>0</xdr:rowOff>
    </xdr:to>
    <xdr:cxnSp>
      <xdr:nvCxnSpPr>
        <xdr:cNvPr id="90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1724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1724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1724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1724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1724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1724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1724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1724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1724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1725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5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6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7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8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29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30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30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30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0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730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730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730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730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730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730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1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1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1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731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731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1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1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1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1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1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2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2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2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2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2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2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732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732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732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2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3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4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4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4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4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4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7345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4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34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34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34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35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35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35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5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5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5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35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35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5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5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6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6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6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6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6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6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6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6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6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36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37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37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7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38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17389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390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7391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7392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7393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7394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7395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7396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7397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7398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7399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400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401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402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7403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7404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05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06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07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08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09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0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1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2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3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4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5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6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7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8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19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0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1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2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3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4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5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6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7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8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29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0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1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2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3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4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5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6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7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8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39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0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1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2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3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4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5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6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7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8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49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0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1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2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3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4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5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6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7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8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59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60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461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182880</xdr:colOff>
      <xdr:row>24</xdr:row>
      <xdr:rowOff>182245</xdr:rowOff>
    </xdr:to>
    <xdr:pic>
      <xdr:nvPicPr>
        <xdr:cNvPr id="2417462" name="图片 2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73700"/>
          <a:ext cx="182880" cy="18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1746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1746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1746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1746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1746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1746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1746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1747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1747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1747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7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8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49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0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1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2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2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2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2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1752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2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52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52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52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52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753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753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3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3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3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53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53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3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3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3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4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4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4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4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4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4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4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4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754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54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755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5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756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17568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569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7570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7571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7572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7573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7574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7575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7576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7577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7578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579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580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7581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7582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7583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84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85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86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87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88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89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0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1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2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3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4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5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6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7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8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599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0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1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2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3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4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5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6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7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8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09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0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1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2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3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4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5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6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7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8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19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0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1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2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3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4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5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6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7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8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29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0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1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2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3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4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5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6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7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8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39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7640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182880</xdr:colOff>
      <xdr:row>24</xdr:row>
      <xdr:rowOff>182245</xdr:rowOff>
    </xdr:to>
    <xdr:pic>
      <xdr:nvPicPr>
        <xdr:cNvPr id="2417641" name="图片 2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73700"/>
          <a:ext cx="182880" cy="18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42" name="Line 2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69</xdr:row>
      <xdr:rowOff>0</xdr:rowOff>
    </xdr:from>
    <xdr:to>
      <xdr:col>5</xdr:col>
      <xdr:colOff>7620</xdr:colOff>
      <xdr:row>69</xdr:row>
      <xdr:rowOff>0</xdr:rowOff>
    </xdr:to>
    <xdr:sp>
      <xdr:nvSpPr>
        <xdr:cNvPr id="2417643" name="Line 3"/>
        <xdr:cNvSpPr/>
      </xdr:nvSpPr>
      <xdr:spPr>
        <a:xfrm>
          <a:off x="320802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7620</xdr:colOff>
      <xdr:row>69</xdr:row>
      <xdr:rowOff>7620</xdr:rowOff>
    </xdr:to>
    <xdr:sp>
      <xdr:nvSpPr>
        <xdr:cNvPr id="2417644" name="Line 5"/>
        <xdr:cNvSpPr/>
      </xdr:nvSpPr>
      <xdr:spPr>
        <a:xfrm flipH="1">
          <a:off x="0" y="15769590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69</xdr:row>
      <xdr:rowOff>0</xdr:rowOff>
    </xdr:from>
    <xdr:to>
      <xdr:col>5</xdr:col>
      <xdr:colOff>7620</xdr:colOff>
      <xdr:row>69</xdr:row>
      <xdr:rowOff>0</xdr:rowOff>
    </xdr:to>
    <xdr:sp>
      <xdr:nvSpPr>
        <xdr:cNvPr id="2417645" name="Line 8"/>
        <xdr:cNvSpPr/>
      </xdr:nvSpPr>
      <xdr:spPr>
        <a:xfrm>
          <a:off x="320802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7620</xdr:colOff>
      <xdr:row>69</xdr:row>
      <xdr:rowOff>7620</xdr:rowOff>
    </xdr:to>
    <xdr:sp>
      <xdr:nvSpPr>
        <xdr:cNvPr id="2417646" name="Line 10"/>
        <xdr:cNvSpPr/>
      </xdr:nvSpPr>
      <xdr:spPr>
        <a:xfrm flipH="1">
          <a:off x="0" y="15769590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69</xdr:row>
      <xdr:rowOff>0</xdr:rowOff>
    </xdr:from>
    <xdr:to>
      <xdr:col>5</xdr:col>
      <xdr:colOff>7620</xdr:colOff>
      <xdr:row>69</xdr:row>
      <xdr:rowOff>0</xdr:rowOff>
    </xdr:to>
    <xdr:sp>
      <xdr:nvSpPr>
        <xdr:cNvPr id="2417647" name="Line 13"/>
        <xdr:cNvSpPr/>
      </xdr:nvSpPr>
      <xdr:spPr>
        <a:xfrm>
          <a:off x="3208020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7620</xdr:colOff>
      <xdr:row>69</xdr:row>
      <xdr:rowOff>7620</xdr:rowOff>
    </xdr:to>
    <xdr:sp>
      <xdr:nvSpPr>
        <xdr:cNvPr id="2417648" name="Line 15"/>
        <xdr:cNvSpPr/>
      </xdr:nvSpPr>
      <xdr:spPr>
        <a:xfrm flipH="1">
          <a:off x="0" y="15769590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49" name="Line 19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50" name="Line 20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51" name="Line 21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70</xdr:row>
      <xdr:rowOff>0</xdr:rowOff>
    </xdr:from>
    <xdr:to>
      <xdr:col>2</xdr:col>
      <xdr:colOff>0</xdr:colOff>
      <xdr:row>70</xdr:row>
      <xdr:rowOff>7620</xdr:rowOff>
    </xdr:to>
    <xdr:sp>
      <xdr:nvSpPr>
        <xdr:cNvPr id="2417652" name="Line 22"/>
        <xdr:cNvSpPr/>
      </xdr:nvSpPr>
      <xdr:spPr>
        <a:xfrm>
          <a:off x="1165860" y="1595056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70</xdr:row>
      <xdr:rowOff>0</xdr:rowOff>
    </xdr:from>
    <xdr:to>
      <xdr:col>2</xdr:col>
      <xdr:colOff>0</xdr:colOff>
      <xdr:row>70</xdr:row>
      <xdr:rowOff>7620</xdr:rowOff>
    </xdr:to>
    <xdr:sp>
      <xdr:nvSpPr>
        <xdr:cNvPr id="2417653" name="Line 23"/>
        <xdr:cNvSpPr/>
      </xdr:nvSpPr>
      <xdr:spPr>
        <a:xfrm>
          <a:off x="1165860" y="1595056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54" name="Line 24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55" name="Line 25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56" name="Line 26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57" name="Line 27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58" name="Line 28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7659" name="Line 29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60" name="Line 30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61" name="Line 31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62" name="Line 32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7663" name="Line 33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8688" name="Line 34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69</xdr:row>
      <xdr:rowOff>0</xdr:rowOff>
    </xdr:from>
    <xdr:to>
      <xdr:col>2</xdr:col>
      <xdr:colOff>0</xdr:colOff>
      <xdr:row>69</xdr:row>
      <xdr:rowOff>7620</xdr:rowOff>
    </xdr:to>
    <xdr:sp>
      <xdr:nvSpPr>
        <xdr:cNvPr id="2418689" name="Line 35"/>
        <xdr:cNvSpPr/>
      </xdr:nvSpPr>
      <xdr:spPr>
        <a:xfrm>
          <a:off x="1165860" y="1576959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70</xdr:row>
      <xdr:rowOff>0</xdr:rowOff>
    </xdr:from>
    <xdr:to>
      <xdr:col>2</xdr:col>
      <xdr:colOff>0</xdr:colOff>
      <xdr:row>70</xdr:row>
      <xdr:rowOff>7620</xdr:rowOff>
    </xdr:to>
    <xdr:sp>
      <xdr:nvSpPr>
        <xdr:cNvPr id="2418690" name="Line 36"/>
        <xdr:cNvSpPr/>
      </xdr:nvSpPr>
      <xdr:spPr>
        <a:xfrm>
          <a:off x="1165860" y="1595056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70</xdr:row>
      <xdr:rowOff>0</xdr:rowOff>
    </xdr:from>
    <xdr:to>
      <xdr:col>2</xdr:col>
      <xdr:colOff>0</xdr:colOff>
      <xdr:row>70</xdr:row>
      <xdr:rowOff>7620</xdr:rowOff>
    </xdr:to>
    <xdr:sp>
      <xdr:nvSpPr>
        <xdr:cNvPr id="2418691" name="Line 37"/>
        <xdr:cNvSpPr/>
      </xdr:nvSpPr>
      <xdr:spPr>
        <a:xfrm>
          <a:off x="1165860" y="1595056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2" name="Line 38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3" name="Line 39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4" name="Line 40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5" name="Line 41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6" name="Line 42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7" name="Line 43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8" name="Line 44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699" name="Line 45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0" name="Line 46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1" name="Line 47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2" name="Line 48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3" name="Line 49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4" name="Line 50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5" name="Line 51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6" name="Line 52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7" name="Line 53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30480</xdr:rowOff>
    </xdr:to>
    <xdr:sp>
      <xdr:nvSpPr>
        <xdr:cNvPr id="2418708" name="Line 54"/>
        <xdr:cNvSpPr/>
      </xdr:nvSpPr>
      <xdr:spPr>
        <a:xfrm>
          <a:off x="7040880" y="1576959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8709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8710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8711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8712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8713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8714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8715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8716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8717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8718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19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0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1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2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3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4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5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6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7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8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29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0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1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2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3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4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5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6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7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8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39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0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1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2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3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4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5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6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7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8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49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0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1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2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3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4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5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6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7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8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59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0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1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2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3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4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5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6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7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8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69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770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7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877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877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877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877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877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877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7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7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8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78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78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8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8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8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8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8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8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8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9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9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9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9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79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79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79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9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9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79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0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1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1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1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13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1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881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881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881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881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881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882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2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2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2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82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82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2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2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2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2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3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3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3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3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3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3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3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883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83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883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4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8856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8857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8858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8859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8860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8861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8862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8863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8864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8865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8866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67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68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69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0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1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2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3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4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5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6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7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8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79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0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1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2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3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4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5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6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7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8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89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0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1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2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3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4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5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6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7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8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899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0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1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2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3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4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5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6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7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8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09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0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1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2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3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4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5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6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7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8918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18919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8920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8921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8922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8923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8924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8925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8926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8927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8928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8929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8930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8931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8932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8933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8934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35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36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37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38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39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0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1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2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3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4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5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6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7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8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49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0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1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2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3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4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5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6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7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8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59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0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1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2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3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4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5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6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7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8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69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0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1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2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3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4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5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6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7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8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79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0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1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2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3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4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5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6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7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8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89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90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8991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8992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8993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8994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8995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8996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8997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8998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8999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00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01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02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03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04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05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06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07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08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09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10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11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12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13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14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15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16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17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18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19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0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1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2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3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4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5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6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7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8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29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30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31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32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33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34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3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03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03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03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03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04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04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4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4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4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4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4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4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4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4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5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5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5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5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5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5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5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5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05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5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06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6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07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11906</xdr:rowOff>
    </xdr:from>
    <xdr:to>
      <xdr:col>11</xdr:col>
      <xdr:colOff>0</xdr:colOff>
      <xdr:row>31</xdr:row>
      <xdr:rowOff>0</xdr:rowOff>
    </xdr:to>
    <xdr:cxnSp>
      <xdr:nvCxnSpPr>
        <xdr:cNvPr id="148" name="line"/>
        <xdr:cNvCxnSpPr/>
      </xdr:nvCxnSpPr>
      <xdr:spPr>
        <a:xfrm>
          <a:off x="7040880" y="6826250"/>
          <a:ext cx="0" cy="2120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149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150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11906</xdr:rowOff>
    </xdr:to>
    <xdr:cxnSp>
      <xdr:nvCxnSpPr>
        <xdr:cNvPr id="151" name="line"/>
        <xdr:cNvCxnSpPr/>
      </xdr:nvCxnSpPr>
      <xdr:spPr>
        <a:xfrm>
          <a:off x="7040880" y="6814820"/>
          <a:ext cx="0" cy="23495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9335</xdr:colOff>
      <xdr:row>31</xdr:row>
      <xdr:rowOff>0</xdr:rowOff>
    </xdr:from>
    <xdr:to>
      <xdr:col>5</xdr:col>
      <xdr:colOff>9335</xdr:colOff>
      <xdr:row>31</xdr:row>
      <xdr:rowOff>0</xdr:rowOff>
    </xdr:to>
    <xdr:cxnSp>
      <xdr:nvCxnSpPr>
        <xdr:cNvPr id="152" name="line"/>
        <xdr:cNvCxnSpPr/>
      </xdr:nvCxnSpPr>
      <xdr:spPr>
        <a:xfrm>
          <a:off x="320929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9335</xdr:colOff>
      <xdr:row>22</xdr:row>
      <xdr:rowOff>0</xdr:rowOff>
    </xdr:to>
    <xdr:cxnSp>
      <xdr:nvCxnSpPr>
        <xdr:cNvPr id="153" name="line"/>
        <xdr:cNvCxnSpPr/>
      </xdr:nvCxnSpPr>
      <xdr:spPr>
        <a:xfrm flipH="1">
          <a:off x="7040880" y="4845685"/>
          <a:ext cx="889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154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11906</xdr:rowOff>
    </xdr:to>
    <xdr:cxnSp>
      <xdr:nvCxnSpPr>
        <xdr:cNvPr id="155" name="line"/>
        <xdr:cNvCxnSpPr/>
      </xdr:nvCxnSpPr>
      <xdr:spPr>
        <a:xfrm>
          <a:off x="7040880" y="6814820"/>
          <a:ext cx="0" cy="23495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9335</xdr:colOff>
      <xdr:row>31</xdr:row>
      <xdr:rowOff>0</xdr:rowOff>
    </xdr:from>
    <xdr:to>
      <xdr:col>5</xdr:col>
      <xdr:colOff>9335</xdr:colOff>
      <xdr:row>31</xdr:row>
      <xdr:rowOff>0</xdr:rowOff>
    </xdr:to>
    <xdr:cxnSp>
      <xdr:nvCxnSpPr>
        <xdr:cNvPr id="156" name="line"/>
        <xdr:cNvCxnSpPr/>
      </xdr:nvCxnSpPr>
      <xdr:spPr>
        <a:xfrm>
          <a:off x="320929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9335</xdr:colOff>
      <xdr:row>22</xdr:row>
      <xdr:rowOff>0</xdr:rowOff>
    </xdr:to>
    <xdr:cxnSp>
      <xdr:nvCxnSpPr>
        <xdr:cNvPr id="157" name="line"/>
        <xdr:cNvCxnSpPr/>
      </xdr:nvCxnSpPr>
      <xdr:spPr>
        <a:xfrm flipH="1">
          <a:off x="7040880" y="4845685"/>
          <a:ext cx="889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158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159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160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161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32</xdr:row>
      <xdr:rowOff>0</xdr:rowOff>
    </xdr:from>
    <xdr:to>
      <xdr:col>1</xdr:col>
      <xdr:colOff>596875</xdr:colOff>
      <xdr:row>32</xdr:row>
      <xdr:rowOff>0</xdr:rowOff>
    </xdr:to>
    <xdr:cxnSp>
      <xdr:nvCxnSpPr>
        <xdr:cNvPr id="162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32</xdr:row>
      <xdr:rowOff>0</xdr:rowOff>
    </xdr:from>
    <xdr:to>
      <xdr:col>1</xdr:col>
      <xdr:colOff>596875</xdr:colOff>
      <xdr:row>32</xdr:row>
      <xdr:rowOff>0</xdr:rowOff>
    </xdr:to>
    <xdr:cxnSp>
      <xdr:nvCxnSpPr>
        <xdr:cNvPr id="163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6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6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6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6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6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6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7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8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19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0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1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22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5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15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15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15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15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15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15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5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5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6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16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16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6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6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6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6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6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6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6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7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7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7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7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17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17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17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7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7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7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8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9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9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9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193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194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195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196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197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198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199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200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201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202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203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04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05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06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07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08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09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0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1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2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3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4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5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6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7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8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19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0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1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2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3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4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5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6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7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8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29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0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1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2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3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4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5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6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7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8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39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0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1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2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3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4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5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6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7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8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49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50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51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52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53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54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255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5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25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25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25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26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26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26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6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6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6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26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26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6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6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7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7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7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7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7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7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7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7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7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27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28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28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8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29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19299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300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9301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9302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9303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9304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9305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9306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9307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9308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9309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310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311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312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9313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9314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15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16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17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18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19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0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1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2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3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4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5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6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7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8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29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0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1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2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3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4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5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6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7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8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39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0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1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2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3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4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5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6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7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8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49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0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1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2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3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4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5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6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7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8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59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0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1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2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3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4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5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6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7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8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69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70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371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7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37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37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37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37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37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37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7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8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8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38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38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8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8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8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8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8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8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9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9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9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9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9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39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39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39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9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39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0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1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1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1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1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14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415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416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417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418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419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420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421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422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423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424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25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26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27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28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29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0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1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2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3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4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5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6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7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8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39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0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1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2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3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4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5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6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7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8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49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0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1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2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3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4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5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6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7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8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59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0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1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2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3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4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5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6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7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8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69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0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1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2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3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4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5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476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77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478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479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480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481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482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483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84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85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86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487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488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89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90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91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92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93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494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95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96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97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98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499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500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501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502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3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4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5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6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7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8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09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0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1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2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3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4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5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6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7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8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519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2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222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7006</xdr:colOff>
      <xdr:row>31</xdr:row>
      <xdr:rowOff>0</xdr:rowOff>
    </xdr:to>
    <xdr:cxnSp>
      <xdr:nvCxnSpPr>
        <xdr:cNvPr id="22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2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8751</xdr:colOff>
      <xdr:row>31</xdr:row>
      <xdr:rowOff>0</xdr:rowOff>
    </xdr:from>
    <xdr:to>
      <xdr:col>5</xdr:col>
      <xdr:colOff>8751</xdr:colOff>
      <xdr:row>31</xdr:row>
      <xdr:rowOff>0</xdr:rowOff>
    </xdr:to>
    <xdr:cxnSp>
      <xdr:nvCxnSpPr>
        <xdr:cNvPr id="22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8751</xdr:colOff>
      <xdr:row>22</xdr:row>
      <xdr:rowOff>0</xdr:rowOff>
    </xdr:to>
    <xdr:cxnSp>
      <xdr:nvCxnSpPr>
        <xdr:cNvPr id="22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7006</xdr:colOff>
      <xdr:row>31</xdr:row>
      <xdr:rowOff>0</xdr:rowOff>
    </xdr:to>
    <xdr:cxnSp>
      <xdr:nvCxnSpPr>
        <xdr:cNvPr id="22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2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8751</xdr:colOff>
      <xdr:row>31</xdr:row>
      <xdr:rowOff>0</xdr:rowOff>
    </xdr:from>
    <xdr:to>
      <xdr:col>5</xdr:col>
      <xdr:colOff>8751</xdr:colOff>
      <xdr:row>31</xdr:row>
      <xdr:rowOff>0</xdr:rowOff>
    </xdr:to>
    <xdr:cxnSp>
      <xdr:nvCxnSpPr>
        <xdr:cNvPr id="22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8751</xdr:colOff>
      <xdr:row>22</xdr:row>
      <xdr:rowOff>0</xdr:rowOff>
    </xdr:to>
    <xdr:cxnSp>
      <xdr:nvCxnSpPr>
        <xdr:cNvPr id="23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7006</xdr:colOff>
      <xdr:row>31</xdr:row>
      <xdr:rowOff>0</xdr:rowOff>
    </xdr:to>
    <xdr:cxnSp>
      <xdr:nvCxnSpPr>
        <xdr:cNvPr id="23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232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233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31</xdr:row>
      <xdr:rowOff>0</xdr:rowOff>
    </xdr:from>
    <xdr:to>
      <xdr:col>1</xdr:col>
      <xdr:colOff>596292</xdr:colOff>
      <xdr:row>31</xdr:row>
      <xdr:rowOff>0</xdr:rowOff>
    </xdr:to>
    <xdr:cxnSp>
      <xdr:nvCxnSpPr>
        <xdr:cNvPr id="234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32</xdr:row>
      <xdr:rowOff>0</xdr:rowOff>
    </xdr:from>
    <xdr:to>
      <xdr:col>1</xdr:col>
      <xdr:colOff>596292</xdr:colOff>
      <xdr:row>32</xdr:row>
      <xdr:rowOff>0</xdr:rowOff>
    </xdr:to>
    <xdr:cxnSp>
      <xdr:nvCxnSpPr>
        <xdr:cNvPr id="235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596292</xdr:colOff>
      <xdr:row>32</xdr:row>
      <xdr:rowOff>0</xdr:rowOff>
    </xdr:from>
    <xdr:to>
      <xdr:col>1</xdr:col>
      <xdr:colOff>596292</xdr:colOff>
      <xdr:row>32</xdr:row>
      <xdr:rowOff>0</xdr:rowOff>
    </xdr:to>
    <xdr:cxnSp>
      <xdr:nvCxnSpPr>
        <xdr:cNvPr id="236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593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594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595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596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597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598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599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00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01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02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603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604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05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06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07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08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09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10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11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12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13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14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15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616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617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618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19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0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1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2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3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4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5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6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7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8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29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30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31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32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33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34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635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636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637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638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639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640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641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642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643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644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645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46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47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48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49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0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1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2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3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4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5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6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7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8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59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0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1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2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3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4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5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6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7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8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69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0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1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2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3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4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5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6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7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8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79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0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1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2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3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4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5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6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7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8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89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0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1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2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3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4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5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6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697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698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9699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19700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9701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19702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19703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19704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05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06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07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9708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9709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10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11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12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13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14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15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16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17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18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19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20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19721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9722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19723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24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25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26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27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28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29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0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1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2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3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4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5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6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7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8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39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19740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11906</xdr:rowOff>
    </xdr:from>
    <xdr:to>
      <xdr:col>11</xdr:col>
      <xdr:colOff>0</xdr:colOff>
      <xdr:row>31</xdr:row>
      <xdr:rowOff>0</xdr:rowOff>
    </xdr:to>
    <xdr:cxnSp>
      <xdr:nvCxnSpPr>
        <xdr:cNvPr id="294" name="line"/>
        <xdr:cNvCxnSpPr/>
      </xdr:nvCxnSpPr>
      <xdr:spPr>
        <a:xfrm>
          <a:off x="7040880" y="6826250"/>
          <a:ext cx="0" cy="2120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295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296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11906</xdr:rowOff>
    </xdr:to>
    <xdr:cxnSp>
      <xdr:nvCxnSpPr>
        <xdr:cNvPr id="297" name="line"/>
        <xdr:cNvCxnSpPr/>
      </xdr:nvCxnSpPr>
      <xdr:spPr>
        <a:xfrm>
          <a:off x="7040880" y="6814820"/>
          <a:ext cx="0" cy="23495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9335</xdr:colOff>
      <xdr:row>31</xdr:row>
      <xdr:rowOff>0</xdr:rowOff>
    </xdr:from>
    <xdr:to>
      <xdr:col>5</xdr:col>
      <xdr:colOff>9335</xdr:colOff>
      <xdr:row>31</xdr:row>
      <xdr:rowOff>0</xdr:rowOff>
    </xdr:to>
    <xdr:cxnSp>
      <xdr:nvCxnSpPr>
        <xdr:cNvPr id="298" name="line"/>
        <xdr:cNvCxnSpPr/>
      </xdr:nvCxnSpPr>
      <xdr:spPr>
        <a:xfrm>
          <a:off x="320929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9335</xdr:colOff>
      <xdr:row>22</xdr:row>
      <xdr:rowOff>0</xdr:rowOff>
    </xdr:to>
    <xdr:cxnSp>
      <xdr:nvCxnSpPr>
        <xdr:cNvPr id="299" name="line"/>
        <xdr:cNvCxnSpPr/>
      </xdr:nvCxnSpPr>
      <xdr:spPr>
        <a:xfrm flipH="1">
          <a:off x="7040880" y="4845685"/>
          <a:ext cx="889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300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11906</xdr:rowOff>
    </xdr:to>
    <xdr:cxnSp>
      <xdr:nvCxnSpPr>
        <xdr:cNvPr id="301" name="line"/>
        <xdr:cNvCxnSpPr/>
      </xdr:nvCxnSpPr>
      <xdr:spPr>
        <a:xfrm>
          <a:off x="7040880" y="6814820"/>
          <a:ext cx="0" cy="23495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9335</xdr:colOff>
      <xdr:row>31</xdr:row>
      <xdr:rowOff>0</xdr:rowOff>
    </xdr:from>
    <xdr:to>
      <xdr:col>5</xdr:col>
      <xdr:colOff>9335</xdr:colOff>
      <xdr:row>31</xdr:row>
      <xdr:rowOff>0</xdr:rowOff>
    </xdr:to>
    <xdr:cxnSp>
      <xdr:nvCxnSpPr>
        <xdr:cNvPr id="302" name="line"/>
        <xdr:cNvCxnSpPr/>
      </xdr:nvCxnSpPr>
      <xdr:spPr>
        <a:xfrm>
          <a:off x="320929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9335</xdr:colOff>
      <xdr:row>22</xdr:row>
      <xdr:rowOff>0</xdr:rowOff>
    </xdr:to>
    <xdr:cxnSp>
      <xdr:nvCxnSpPr>
        <xdr:cNvPr id="303" name="line"/>
        <xdr:cNvCxnSpPr/>
      </xdr:nvCxnSpPr>
      <xdr:spPr>
        <a:xfrm flipH="1">
          <a:off x="7040880" y="4845685"/>
          <a:ext cx="889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8758</xdr:colOff>
      <xdr:row>31</xdr:row>
      <xdr:rowOff>0</xdr:rowOff>
    </xdr:to>
    <xdr:cxnSp>
      <xdr:nvCxnSpPr>
        <xdr:cNvPr id="304" name="line"/>
        <xdr:cNvCxnSpPr/>
      </xdr:nvCxnSpPr>
      <xdr:spPr>
        <a:xfrm flipH="1">
          <a:off x="0" y="7038340"/>
          <a:ext cx="825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305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306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31</xdr:row>
      <xdr:rowOff>0</xdr:rowOff>
    </xdr:from>
    <xdr:to>
      <xdr:col>1</xdr:col>
      <xdr:colOff>596875</xdr:colOff>
      <xdr:row>31</xdr:row>
      <xdr:rowOff>0</xdr:rowOff>
    </xdr:to>
    <xdr:cxnSp>
      <xdr:nvCxnSpPr>
        <xdr:cNvPr id="307" name="line"/>
        <xdr:cNvCxnSpPr/>
      </xdr:nvCxnSpPr>
      <xdr:spPr>
        <a:xfrm>
          <a:off x="12363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32</xdr:row>
      <xdr:rowOff>0</xdr:rowOff>
    </xdr:from>
    <xdr:to>
      <xdr:col>1</xdr:col>
      <xdr:colOff>596875</xdr:colOff>
      <xdr:row>32</xdr:row>
      <xdr:rowOff>0</xdr:rowOff>
    </xdr:to>
    <xdr:cxnSp>
      <xdr:nvCxnSpPr>
        <xdr:cNvPr id="308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596875</xdr:colOff>
      <xdr:row>32</xdr:row>
      <xdr:rowOff>0</xdr:rowOff>
    </xdr:from>
    <xdr:to>
      <xdr:col>1</xdr:col>
      <xdr:colOff>596875</xdr:colOff>
      <xdr:row>32</xdr:row>
      <xdr:rowOff>0</xdr:rowOff>
    </xdr:to>
    <xdr:cxnSp>
      <xdr:nvCxnSpPr>
        <xdr:cNvPr id="309" name="line"/>
        <xdr:cNvCxnSpPr/>
      </xdr:nvCxnSpPr>
      <xdr:spPr>
        <a:xfrm>
          <a:off x="123634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1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2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3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4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7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8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59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0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1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2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3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4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5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25003</xdr:rowOff>
    </xdr:to>
    <xdr:cxnSp>
      <xdr:nvCxnSpPr>
        <xdr:cNvPr id="366" name="line"/>
        <xdr:cNvCxnSpPr/>
      </xdr:nvCxnSpPr>
      <xdr:spPr>
        <a:xfrm>
          <a:off x="7040880" y="7038340"/>
          <a:ext cx="0" cy="126555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1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81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81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81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81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1981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1982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2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2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2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82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82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2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2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2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2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3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3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3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3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3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3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3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1983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83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1983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4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19856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857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858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859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19860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19861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19862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863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19864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865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19866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67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68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69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0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1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2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3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4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5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6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7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8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79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0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1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2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3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4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5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6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7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8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89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0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1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2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3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4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5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6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7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8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899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0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1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2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3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4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5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6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7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8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09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0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1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2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3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4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5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6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7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19918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19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920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921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922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923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19924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19925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26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27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28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929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930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31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32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33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34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35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36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37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38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39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40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41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19942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943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19944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45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46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47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48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49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0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1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2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3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4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5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6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7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8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59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60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19961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19962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963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9964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9965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9966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9967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9968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19969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19970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19971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19972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973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974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19975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9976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19977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78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79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0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1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2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3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4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5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6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7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8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89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0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1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2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3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4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5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6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7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8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19999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0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1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2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3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4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5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6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7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8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09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0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1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2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3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4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5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6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7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8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19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0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1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2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3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4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5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6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7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8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29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30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31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32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33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034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35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036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037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038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039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040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041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42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43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44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045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046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47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48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49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50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51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52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53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54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55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56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57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058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059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060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1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2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3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4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5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6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7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8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69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0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1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2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3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4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5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6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077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078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079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080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081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082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083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084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085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086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087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88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89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0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1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2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3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4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5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6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7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8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099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0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1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2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3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4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5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6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7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8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09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0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1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2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3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4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5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6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7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8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19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0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1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2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3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4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5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6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7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8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29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0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1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2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3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4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5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6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7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8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139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40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141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142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143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144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145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146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47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48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49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150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151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52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53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54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55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56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57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58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59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60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61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62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163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164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165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66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67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68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69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0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1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2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3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4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5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6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7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8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79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80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81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182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0183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184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185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0186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0187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0188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189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0190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0191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0192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193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194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195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196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0197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0198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199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0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1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2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3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4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5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6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7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8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09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0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1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2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3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4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5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6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7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8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19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0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1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2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3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4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5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6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7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8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29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0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1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2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3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4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5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6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7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8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39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0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1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2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3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4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5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6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7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8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49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50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51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52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53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54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255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56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257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258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259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260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261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262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63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64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65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266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267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68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69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70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71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72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73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74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75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76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77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78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279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280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281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2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3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4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5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6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7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8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89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0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1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2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3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4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5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6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7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298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299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300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301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302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303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304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305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306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307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308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09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0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1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2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3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4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5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6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7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8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19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0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1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2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3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4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5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6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7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8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29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0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1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2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3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4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5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6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7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8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39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0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1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2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3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4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5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6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7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8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49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0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1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2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3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4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5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6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7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8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59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360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61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362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363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364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365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366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367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68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69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70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371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372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73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74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75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76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77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78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79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80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81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82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83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384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385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386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87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88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89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0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1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2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3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4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5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6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7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8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399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400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401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402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403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0404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405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406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0407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0408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0409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410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0411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0412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0413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414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415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416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417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0418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0419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0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1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2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3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4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5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6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7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8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29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0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1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2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3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4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5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6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7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8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39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0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1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2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3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4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5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6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7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8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49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0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1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2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3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4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5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6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7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8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59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0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1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2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3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4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5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6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7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8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69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0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1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2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3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4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5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476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77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478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479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480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481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482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483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84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85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86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487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488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89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90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91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92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93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494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95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96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97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98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499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500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501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502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3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4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5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6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7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8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09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0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1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2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3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4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5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6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7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8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19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520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521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522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523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524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525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526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527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528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529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0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1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2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3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4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5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6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7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8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39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0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1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2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3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4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5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6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7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8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49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0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1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2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3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4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5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6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7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8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59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0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1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2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3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4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5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6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7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8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69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0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1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2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3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4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5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6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7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8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79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80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581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8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58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58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58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58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58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58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58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59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59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59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59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9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9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9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9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9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59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60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60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60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60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60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60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60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60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0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0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1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2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2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2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2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624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625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626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627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628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629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630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631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632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633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634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35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36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37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38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39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0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1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2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3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4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5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6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7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8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49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0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1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2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3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4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5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6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7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8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59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0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1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2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3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4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5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6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7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8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69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0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1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2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3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4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5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6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7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8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79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0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1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2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3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4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5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86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687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688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689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690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691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692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693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694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695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696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97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98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699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0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1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2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3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4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5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6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7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8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09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0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1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2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3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4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5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6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7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8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19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0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1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2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3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4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5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6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7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8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29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0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1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2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3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4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5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6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7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8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39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0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1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2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3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4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5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6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7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748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49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750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751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752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753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754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755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56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57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58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759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760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61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62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63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64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65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66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67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68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69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70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71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72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773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774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75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76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77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78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79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0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1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2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3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4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5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6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7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8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89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90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91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792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793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794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795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796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0797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0798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799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00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01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802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803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04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05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06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07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08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09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10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11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12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13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14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0815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816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0817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18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19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0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1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2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3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4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5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6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7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8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29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30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31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32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33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0834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0835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836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837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0838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0839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0840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841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0842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0843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0844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0845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846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847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0848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0849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0850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1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2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3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4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5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6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7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8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59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0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1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2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3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4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5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6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7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8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69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0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1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2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3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4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5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6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7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8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79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0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1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2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3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4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5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6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7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8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89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0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1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2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3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4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5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6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7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8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899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0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1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2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3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4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5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6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0907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908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909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910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0911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0912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0913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914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0915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916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0917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18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19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0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1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2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3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4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5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6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7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8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29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0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1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2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3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4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5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6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7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8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39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0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1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2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3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4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5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6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7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8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49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0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1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2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3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4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5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6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7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8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59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0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1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2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3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4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5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6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7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8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0969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70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971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972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973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974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0975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0976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77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78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79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980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981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82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83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84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85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86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87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88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89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90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91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92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0993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994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0995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96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97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98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0999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0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1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2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3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4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5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6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7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8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09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10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11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012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013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014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015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016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017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018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019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020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021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022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3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4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5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6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7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8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29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0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1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2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3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4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5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6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7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8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39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0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1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2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3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4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5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6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7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8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49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0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1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2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3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4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5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6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7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8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59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0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1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2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3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4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5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6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7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8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69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70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71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72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73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074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1075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076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077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078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079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080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081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082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083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084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085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086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087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088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089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090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1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2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3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4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5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6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7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8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099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0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1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2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3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4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5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6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7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8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09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0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1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2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3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4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5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6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7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8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19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0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1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2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3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4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5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6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7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8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29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0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1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2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3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4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5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6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7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8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39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0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1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2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3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4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5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6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147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48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1149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1150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1151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1152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1153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1154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55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56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57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158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159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60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61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62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63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64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65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66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67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68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69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70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171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172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173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74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75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76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77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78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79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0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1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2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3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4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5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6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7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8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89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190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19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19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19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19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19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19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19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19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19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0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20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20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0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0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0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0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0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0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0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1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1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1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1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21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21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21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1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1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1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2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3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3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3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233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34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1235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1236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1237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1238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1239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1240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41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42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43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244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245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46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47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48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49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50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51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52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53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54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55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56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1257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258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1259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0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1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2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3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4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5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6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7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8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69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0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1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2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3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4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5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1276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1277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278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279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280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281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282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283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284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285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286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287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288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289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290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291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292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3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4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5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6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7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8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299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0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1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2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3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4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5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6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7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8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09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0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1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2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3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4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5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6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7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8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19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0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1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2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3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4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5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6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7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8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29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0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1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2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3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4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5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6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7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8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39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0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1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2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3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4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5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6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7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8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349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50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351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352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353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354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355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356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57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58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59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360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361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62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63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64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65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66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67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68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69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70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71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72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373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374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375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76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77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78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79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0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1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2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3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4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5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6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7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8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89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90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91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392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393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394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395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396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397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398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399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400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401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402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3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4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5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6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7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8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09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0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1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2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3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4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5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6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7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8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19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0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1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2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3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4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5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6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7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8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29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0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1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2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3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4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5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6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7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8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39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0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1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2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3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4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5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6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7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8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49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50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51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52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53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454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55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456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457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458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459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460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461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62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63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64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465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466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67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68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69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70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71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72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73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74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75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76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77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478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479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480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1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2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3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4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5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6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7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8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89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0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1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2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3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4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5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6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497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1498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499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500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501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502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503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504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505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506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507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508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509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510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511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512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513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14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15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16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17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18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19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0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1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2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3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4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5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6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7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8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29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0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1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2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3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4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5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6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7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8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39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0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1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2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3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4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5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6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7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8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49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0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1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2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3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4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5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6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7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8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59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0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1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2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3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4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5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6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7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8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69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570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7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57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57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57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57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57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57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7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7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8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58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58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8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8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8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8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8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8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8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9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9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9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9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59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59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59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9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9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59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0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1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1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1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613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614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615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616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617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618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619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620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621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622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623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24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25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26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27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28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29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0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1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2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3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4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5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6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7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8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39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0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1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2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3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4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5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6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7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8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49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0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1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2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3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4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5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6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7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8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59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0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1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2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3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4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5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6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7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8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69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70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71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72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73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74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675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76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677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678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679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680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681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682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83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84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85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686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687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88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89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90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91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92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693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94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95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96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97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98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699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700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701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2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3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4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5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6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7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8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09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0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1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2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3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4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5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6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7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718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1719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720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721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722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723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724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725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1726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1727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1728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1729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730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731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1732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733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1734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35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36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37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38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39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0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1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2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3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4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5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6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7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8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49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0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1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2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3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4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5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6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7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8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59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0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1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2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3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4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5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6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7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8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69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0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1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2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3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4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5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6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7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8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79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0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1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2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3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4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5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6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7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8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89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90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1791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79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79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79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79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79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179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179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79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0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0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80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80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0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0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0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0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0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0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1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1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1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1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1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181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81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181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1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1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2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3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3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3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3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1834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835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836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837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1838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1839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1840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841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1842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843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1844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45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46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47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48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49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0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1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2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3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4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5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6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7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8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59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0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1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2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3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4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5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6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7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8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69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0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1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2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3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4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5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6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7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8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79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0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1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2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3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4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5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6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7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8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89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0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1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2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3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4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5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1896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897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898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899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900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901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1902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1903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04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05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06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907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908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09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10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11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12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13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14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15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16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17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18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19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1920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921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1922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3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4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5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6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7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8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29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0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1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2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3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4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5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6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7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8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1939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6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616655</xdr:colOff>
      <xdr:row>31</xdr:row>
      <xdr:rowOff>0</xdr:rowOff>
    </xdr:from>
    <xdr:to>
      <xdr:col>1</xdr:col>
      <xdr:colOff>616655</xdr:colOff>
      <xdr:row>31</xdr:row>
      <xdr:rowOff>0</xdr:rowOff>
    </xdr:to>
    <xdr:cxnSp>
      <xdr:nvCxnSpPr>
        <xdr:cNvPr id="368" name="line"/>
        <xdr:cNvCxnSpPr/>
      </xdr:nvCxnSpPr>
      <xdr:spPr>
        <a:xfrm>
          <a:off x="125666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</xdr:colOff>
      <xdr:row>31</xdr:row>
      <xdr:rowOff>0</xdr:rowOff>
    </xdr:to>
    <xdr:cxnSp>
      <xdr:nvCxnSpPr>
        <xdr:cNvPr id="369" name="line"/>
        <xdr:cNvCxnSpPr/>
      </xdr:nvCxnSpPr>
      <xdr:spPr>
        <a:xfrm flipH="1">
          <a:off x="0" y="7038340"/>
          <a:ext cx="127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7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6656</xdr:colOff>
      <xdr:row>31</xdr:row>
      <xdr:rowOff>0</xdr:rowOff>
    </xdr:from>
    <xdr:to>
      <xdr:col>5</xdr:col>
      <xdr:colOff>6656</xdr:colOff>
      <xdr:row>31</xdr:row>
      <xdr:rowOff>0</xdr:rowOff>
    </xdr:to>
    <xdr:cxnSp>
      <xdr:nvCxnSpPr>
        <xdr:cNvPr id="371" name="line"/>
        <xdr:cNvCxnSpPr/>
      </xdr:nvCxnSpPr>
      <xdr:spPr>
        <a:xfrm>
          <a:off x="320675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6656</xdr:colOff>
      <xdr:row>22</xdr:row>
      <xdr:rowOff>0</xdr:rowOff>
    </xdr:to>
    <xdr:cxnSp>
      <xdr:nvCxnSpPr>
        <xdr:cNvPr id="372" name="line"/>
        <xdr:cNvCxnSpPr/>
      </xdr:nvCxnSpPr>
      <xdr:spPr>
        <a:xfrm flipH="1">
          <a:off x="7040880" y="4845685"/>
          <a:ext cx="635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</xdr:colOff>
      <xdr:row>31</xdr:row>
      <xdr:rowOff>0</xdr:rowOff>
    </xdr:to>
    <xdr:cxnSp>
      <xdr:nvCxnSpPr>
        <xdr:cNvPr id="373" name="line"/>
        <xdr:cNvCxnSpPr/>
      </xdr:nvCxnSpPr>
      <xdr:spPr>
        <a:xfrm flipH="1">
          <a:off x="0" y="7038340"/>
          <a:ext cx="127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7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6656</xdr:colOff>
      <xdr:row>31</xdr:row>
      <xdr:rowOff>0</xdr:rowOff>
    </xdr:from>
    <xdr:to>
      <xdr:col>5</xdr:col>
      <xdr:colOff>6656</xdr:colOff>
      <xdr:row>31</xdr:row>
      <xdr:rowOff>0</xdr:rowOff>
    </xdr:to>
    <xdr:cxnSp>
      <xdr:nvCxnSpPr>
        <xdr:cNvPr id="375" name="line"/>
        <xdr:cNvCxnSpPr/>
      </xdr:nvCxnSpPr>
      <xdr:spPr>
        <a:xfrm>
          <a:off x="320675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6656</xdr:colOff>
      <xdr:row>22</xdr:row>
      <xdr:rowOff>0</xdr:rowOff>
    </xdr:to>
    <xdr:cxnSp>
      <xdr:nvCxnSpPr>
        <xdr:cNvPr id="376" name="line"/>
        <xdr:cNvCxnSpPr/>
      </xdr:nvCxnSpPr>
      <xdr:spPr>
        <a:xfrm flipH="1">
          <a:off x="7040880" y="4845685"/>
          <a:ext cx="635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</xdr:colOff>
      <xdr:row>31</xdr:row>
      <xdr:rowOff>0</xdr:rowOff>
    </xdr:to>
    <xdr:cxnSp>
      <xdr:nvCxnSpPr>
        <xdr:cNvPr id="377" name="line"/>
        <xdr:cNvCxnSpPr/>
      </xdr:nvCxnSpPr>
      <xdr:spPr>
        <a:xfrm flipH="1">
          <a:off x="0" y="7038340"/>
          <a:ext cx="127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616655</xdr:colOff>
      <xdr:row>31</xdr:row>
      <xdr:rowOff>0</xdr:rowOff>
    </xdr:from>
    <xdr:to>
      <xdr:col>1</xdr:col>
      <xdr:colOff>616655</xdr:colOff>
      <xdr:row>31</xdr:row>
      <xdr:rowOff>0</xdr:rowOff>
    </xdr:to>
    <xdr:cxnSp>
      <xdr:nvCxnSpPr>
        <xdr:cNvPr id="378" name="line"/>
        <xdr:cNvCxnSpPr/>
      </xdr:nvCxnSpPr>
      <xdr:spPr>
        <a:xfrm>
          <a:off x="125666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616655</xdr:colOff>
      <xdr:row>31</xdr:row>
      <xdr:rowOff>0</xdr:rowOff>
    </xdr:from>
    <xdr:to>
      <xdr:col>1</xdr:col>
      <xdr:colOff>616655</xdr:colOff>
      <xdr:row>31</xdr:row>
      <xdr:rowOff>0</xdr:rowOff>
    </xdr:to>
    <xdr:cxnSp>
      <xdr:nvCxnSpPr>
        <xdr:cNvPr id="379" name="line"/>
        <xdr:cNvCxnSpPr/>
      </xdr:nvCxnSpPr>
      <xdr:spPr>
        <a:xfrm>
          <a:off x="125666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616655</xdr:colOff>
      <xdr:row>31</xdr:row>
      <xdr:rowOff>0</xdr:rowOff>
    </xdr:from>
    <xdr:to>
      <xdr:col>1</xdr:col>
      <xdr:colOff>616655</xdr:colOff>
      <xdr:row>31</xdr:row>
      <xdr:rowOff>0</xdr:rowOff>
    </xdr:to>
    <xdr:cxnSp>
      <xdr:nvCxnSpPr>
        <xdr:cNvPr id="380" name="line"/>
        <xdr:cNvCxnSpPr/>
      </xdr:nvCxnSpPr>
      <xdr:spPr>
        <a:xfrm>
          <a:off x="125666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616655</xdr:colOff>
      <xdr:row>32</xdr:row>
      <xdr:rowOff>0</xdr:rowOff>
    </xdr:from>
    <xdr:to>
      <xdr:col>1</xdr:col>
      <xdr:colOff>616655</xdr:colOff>
      <xdr:row>32</xdr:row>
      <xdr:rowOff>0</xdr:rowOff>
    </xdr:to>
    <xdr:cxnSp>
      <xdr:nvCxnSpPr>
        <xdr:cNvPr id="381" name="line"/>
        <xdr:cNvCxnSpPr/>
      </xdr:nvCxnSpPr>
      <xdr:spPr>
        <a:xfrm>
          <a:off x="125666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616655</xdr:colOff>
      <xdr:row>32</xdr:row>
      <xdr:rowOff>0</xdr:rowOff>
    </xdr:from>
    <xdr:to>
      <xdr:col>1</xdr:col>
      <xdr:colOff>616655</xdr:colOff>
      <xdr:row>32</xdr:row>
      <xdr:rowOff>0</xdr:rowOff>
    </xdr:to>
    <xdr:cxnSp>
      <xdr:nvCxnSpPr>
        <xdr:cNvPr id="382" name="line"/>
        <xdr:cNvCxnSpPr/>
      </xdr:nvCxnSpPr>
      <xdr:spPr>
        <a:xfrm>
          <a:off x="125666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1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01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01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01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01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01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01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2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2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2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02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02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2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2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2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2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2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3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3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3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3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3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3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03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03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03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3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4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5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5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5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5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5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055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056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057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058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059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060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061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062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063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064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065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66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67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68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69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0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1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2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3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4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5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6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7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8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79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0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1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2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3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4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5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6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7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8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89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0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1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2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3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4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5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6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7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8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099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0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1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2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3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4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5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6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7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8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09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0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1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2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3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4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5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6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117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18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119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120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121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122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123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124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25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26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27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128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129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30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31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32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33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34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35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36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37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38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39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40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141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142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143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44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45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46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47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48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49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0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1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2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3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4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5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6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7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8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59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160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2161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162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163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2164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2165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2166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167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2168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2169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2170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171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172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173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174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2175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2176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77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78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79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0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1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2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3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4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5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6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7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8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89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0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1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2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3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4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5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6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7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8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199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0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1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2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3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4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5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6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7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8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09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0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1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2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3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4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5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6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7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8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19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0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1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2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3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4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5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6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7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8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29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30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31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32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233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3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23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23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23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23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23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24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4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4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4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24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24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4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4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4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4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5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5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5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5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5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5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5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25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25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25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6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276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277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278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279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280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281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282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283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284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285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286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87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88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89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0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1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2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3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4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5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6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7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8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299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0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1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2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3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4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5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6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7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8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09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0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1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2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3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4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5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6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7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8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19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0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1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2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3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4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5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6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7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8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29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0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1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2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3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4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5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6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7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338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39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340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341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342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343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344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345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46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47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48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349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350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51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52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53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54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55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56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57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58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59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60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61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362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363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364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65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66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67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68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69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0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1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2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3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4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5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6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7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8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79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80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381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2382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383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384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2385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2386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2387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388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2389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2390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2391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392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393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394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395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2396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2397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398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399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0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1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2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3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4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5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6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7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8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09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0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1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2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3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4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5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6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7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8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19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0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1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2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3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4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5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6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7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8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29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0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1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2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3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4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5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6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7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8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39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0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1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2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3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4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5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6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7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8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49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50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51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52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53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454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55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456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457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458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459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460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461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62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63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64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465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466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67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68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69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70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71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72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73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74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75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76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77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478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479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480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1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2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3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4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5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6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7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8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89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0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1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2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3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4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5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6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497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498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499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500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501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502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503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504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505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506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507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08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09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0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1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2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3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4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5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6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7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8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19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0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1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2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3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4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5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6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7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8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29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0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1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2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3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4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5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6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7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8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39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0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1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2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3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4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5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6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7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8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49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0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1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2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3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4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5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6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7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8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559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60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561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562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563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564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2565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2566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67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68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69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570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571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72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73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74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75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76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77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78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79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80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81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82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2583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584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2585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86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87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88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89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0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1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2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3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4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5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6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7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8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599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600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601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2602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4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44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442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4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444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445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446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4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448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449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450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45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45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45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45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455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76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677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678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679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680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681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682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83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84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85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686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687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88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89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90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91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92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693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94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95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96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97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98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699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700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701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2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3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4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5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6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7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8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09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0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1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2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3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4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5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6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7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718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719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720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721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2722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2723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2724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725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2726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727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2728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29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0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1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2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3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4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5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6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7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8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39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0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1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2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3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4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5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6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7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8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49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0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1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2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3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4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5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6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7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8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59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0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1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2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3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4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5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6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7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8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69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0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1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2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3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4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5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6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7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8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79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2780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81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2782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2783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2784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2785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2786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2787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788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789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790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791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792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93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94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95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96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97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798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799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00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01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02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03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04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805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806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07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08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09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0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1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2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3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4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5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6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7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8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19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20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21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22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23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2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82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82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82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82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282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283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3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3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3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83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83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3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3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3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3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4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4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4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4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4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4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4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284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84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284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5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2866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67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2868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2869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2870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2871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2872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2873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74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75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76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877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878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79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80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81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82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83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84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85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86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87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88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89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2890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891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2892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3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4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5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6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7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8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899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0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1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2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3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4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5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6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7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8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2909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2910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2911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2912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2913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2914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2915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2916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2917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2918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2919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0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1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2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3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4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5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6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7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8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29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0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1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2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3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4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5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6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7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8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39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0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1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2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3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4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5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6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7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8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49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0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1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2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3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4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5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6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7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8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59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0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1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2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3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4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5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6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7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8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69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70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2971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2972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973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974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2975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2976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2977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978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2979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2980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2981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2982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983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984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2985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2986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2987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88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89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0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1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2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3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4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5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6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7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8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2999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0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1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2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3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4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5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6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7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8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09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0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1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2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3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4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5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6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7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8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19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0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1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2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3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4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5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6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7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8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29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0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1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2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3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4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5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6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7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8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39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40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41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42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43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044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4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04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04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04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04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05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05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5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5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5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05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05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5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5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5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6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6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6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6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6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6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6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6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06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06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07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7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08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3088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089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3090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3091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3092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3093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3094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3095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3096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3097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3098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099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100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101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3102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3103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04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05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06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07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08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09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0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1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2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3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4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5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6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7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8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19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0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1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2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3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4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5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6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7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8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29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0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1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2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3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4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5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6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7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8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39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0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1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2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3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4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5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6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7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8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49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0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1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2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3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4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5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6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7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8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59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160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6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16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16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16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16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16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16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6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6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7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17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17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7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7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7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7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7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7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7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8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8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8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8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18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18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18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8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8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8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19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20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20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20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203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3204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3205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3206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3207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3208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3209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3210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3211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3212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3213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14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15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16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17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18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19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0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1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2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3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4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5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6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7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8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29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0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1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2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3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4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5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6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7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8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39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0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1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2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3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4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5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6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7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8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49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0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1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2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3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4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5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6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7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8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59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60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61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62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63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64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265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66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3267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3268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3269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3270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3271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3272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73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74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75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276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277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78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79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80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81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82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83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84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85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86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87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88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289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290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291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2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3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4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5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6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7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8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299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0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1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2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3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4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5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6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7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308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19050</xdr:rowOff>
    </xdr:from>
    <xdr:to>
      <xdr:col>11</xdr:col>
      <xdr:colOff>0</xdr:colOff>
      <xdr:row>31</xdr:row>
      <xdr:rowOff>0</xdr:rowOff>
    </xdr:to>
    <xdr:sp>
      <xdr:nvSpPr>
        <xdr:cNvPr id="2423309" name="Line 1"/>
        <xdr:cNvSpPr/>
      </xdr:nvSpPr>
      <xdr:spPr>
        <a:xfrm>
          <a:off x="7040880" y="6833870"/>
          <a:ext cx="0" cy="2044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310" name="Line 3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3311" name="Line 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3312" name="Line 5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3313" name="Line 7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3314" name="Line 8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3315" name="Line 9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19050</xdr:rowOff>
    </xdr:to>
    <xdr:sp>
      <xdr:nvSpPr>
        <xdr:cNvPr id="2423316" name="Line 10"/>
        <xdr:cNvSpPr/>
      </xdr:nvSpPr>
      <xdr:spPr>
        <a:xfrm>
          <a:off x="7040880" y="6814820"/>
          <a:ext cx="0" cy="2425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9525</xdr:colOff>
      <xdr:row>31</xdr:row>
      <xdr:rowOff>0</xdr:rowOff>
    </xdr:from>
    <xdr:to>
      <xdr:col>5</xdr:col>
      <xdr:colOff>9525</xdr:colOff>
      <xdr:row>31</xdr:row>
      <xdr:rowOff>0</xdr:rowOff>
    </xdr:to>
    <xdr:sp>
      <xdr:nvSpPr>
        <xdr:cNvPr id="2423317" name="Line 12"/>
        <xdr:cNvSpPr/>
      </xdr:nvSpPr>
      <xdr:spPr>
        <a:xfrm>
          <a:off x="3209925" y="703834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9525</xdr:colOff>
      <xdr:row>22</xdr:row>
      <xdr:rowOff>0</xdr:rowOff>
    </xdr:to>
    <xdr:sp>
      <xdr:nvSpPr>
        <xdr:cNvPr id="2423318" name="Line 13"/>
        <xdr:cNvSpPr/>
      </xdr:nvSpPr>
      <xdr:spPr>
        <a:xfrm flipH="1">
          <a:off x="7040880" y="4845685"/>
          <a:ext cx="952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9525</xdr:colOff>
      <xdr:row>31</xdr:row>
      <xdr:rowOff>8890</xdr:rowOff>
    </xdr:to>
    <xdr:sp>
      <xdr:nvSpPr>
        <xdr:cNvPr id="2423319" name="Line 14"/>
        <xdr:cNvSpPr/>
      </xdr:nvSpPr>
      <xdr:spPr>
        <a:xfrm flipH="1">
          <a:off x="0" y="7038340"/>
          <a:ext cx="952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320" name="Line 17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321" name="Line 18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31</xdr:row>
      <xdr:rowOff>0</xdr:rowOff>
    </xdr:from>
    <xdr:to>
      <xdr:col>1</xdr:col>
      <xdr:colOff>1171575</xdr:colOff>
      <xdr:row>31</xdr:row>
      <xdr:rowOff>8890</xdr:rowOff>
    </xdr:to>
    <xdr:sp>
      <xdr:nvSpPr>
        <xdr:cNvPr id="2423322" name="Line 19"/>
        <xdr:cNvSpPr/>
      </xdr:nvSpPr>
      <xdr:spPr>
        <a:xfrm>
          <a:off x="1280160" y="7038340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3323" name="Line 20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1171575</xdr:colOff>
      <xdr:row>32</xdr:row>
      <xdr:rowOff>0</xdr:rowOff>
    </xdr:from>
    <xdr:to>
      <xdr:col>1</xdr:col>
      <xdr:colOff>1171575</xdr:colOff>
      <xdr:row>32</xdr:row>
      <xdr:rowOff>8890</xdr:rowOff>
    </xdr:to>
    <xdr:sp>
      <xdr:nvSpPr>
        <xdr:cNvPr id="2423324" name="Line 21"/>
        <xdr:cNvSpPr/>
      </xdr:nvSpPr>
      <xdr:spPr>
        <a:xfrm>
          <a:off x="1280160" y="7219315"/>
          <a:ext cx="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25" name="Line 2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26" name="Line 2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27" name="Line 2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28" name="Line 2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29" name="Line 2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0" name="Line 2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1" name="Line 2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2" name="Line 2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3" name="Line 3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4" name="Line 3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5" name="Line 3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6" name="Line 3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7" name="Line 3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8" name="Line 3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39" name="Line 3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0" name="Line 3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1" name="Line 3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2" name="Line 3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3" name="Line 4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4" name="Line 4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5" name="Line 4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6" name="Line 4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7" name="Line 4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8" name="Line 4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49" name="Line 4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0" name="Line 4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1" name="Line 4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2" name="Line 4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3" name="Line 5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4" name="Line 5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5" name="Line 5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6" name="Line 5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7" name="Line 5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8" name="Line 5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59" name="Line 5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0" name="Line 5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1" name="Line 5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2" name="Line 5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3" name="Line 6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4" name="Line 6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5" name="Line 6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6" name="Line 6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7" name="Line 6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8" name="Line 6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69" name="Line 6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0" name="Line 6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1" name="Line 6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2" name="Line 69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3" name="Line 70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4" name="Line 71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5" name="Line 72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6" name="Line 73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7" name="Line 74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8" name="Line 75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79" name="Line 76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80" name="Line 77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28575</xdr:rowOff>
    </xdr:to>
    <xdr:sp>
      <xdr:nvSpPr>
        <xdr:cNvPr id="2423381" name="Line 78"/>
        <xdr:cNvSpPr/>
      </xdr:nvSpPr>
      <xdr:spPr>
        <a:xfrm>
          <a:off x="7040880" y="7038340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8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38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38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38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38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38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38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38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39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39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39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39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9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9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9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9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9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39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40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40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40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40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40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40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40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40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0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0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1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2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2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2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2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424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3425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3426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3427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3428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3429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3430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3431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3432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3433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3434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35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36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37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38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39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0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1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2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3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4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5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6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7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8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49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0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1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2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3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4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5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6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7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8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59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0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1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2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3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4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5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6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7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8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69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0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1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2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3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4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5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6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7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8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79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0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1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2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3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4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5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486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487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3488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3489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3490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3491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3492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3493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494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495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496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497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498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499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00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01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02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03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04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505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506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507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508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509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3510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511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3512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3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4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5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6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7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8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19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0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1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2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3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4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5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6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7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8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3529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1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514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515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1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517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518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519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2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521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522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523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524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525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526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527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528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0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60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60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60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60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60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60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1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1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1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61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61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1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1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1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1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1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2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2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2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2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2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2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62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62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62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2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3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4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4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4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4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4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645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3646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3647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3648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3649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3650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3651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3652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3653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3654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3655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56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57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58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59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0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1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2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3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4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5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6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7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8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69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0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1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2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3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4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5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6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7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8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79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0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1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2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3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4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5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6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7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8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89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0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1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2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3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4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5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6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7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8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699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0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1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2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3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4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5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6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3707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08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709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710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711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712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713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714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15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16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17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718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719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20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21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22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23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24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25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26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27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28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29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30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731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732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733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34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35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36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37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38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39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0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1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2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3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4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5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6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7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8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49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750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8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58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588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8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590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591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592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9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594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595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596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59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59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59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600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601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2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82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82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82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82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382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383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3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3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3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83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83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3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3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3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3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4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4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4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4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4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4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4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384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84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384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5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3866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3867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3868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3869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3870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3871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3872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3873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3874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3875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3876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77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78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79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0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1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2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3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4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5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6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7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8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89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0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1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2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3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4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5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6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7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8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899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0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1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2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3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4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5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6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7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8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09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0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1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2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3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4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5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6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7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8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19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0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1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2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3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4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5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6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7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3928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29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930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931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932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933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3934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3935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36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37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38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939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940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41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42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43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44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45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46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47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48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49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50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51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3952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953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3954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55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56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57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58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59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0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1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2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3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4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5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6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7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8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69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70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3971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5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66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66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6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66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66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66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6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667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668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66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67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67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67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67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67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6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7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45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046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047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048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049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050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051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52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53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54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055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056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57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58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59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60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61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62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63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64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65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66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67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068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069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070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1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2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3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4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5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6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7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8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79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0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1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2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3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4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5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6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087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088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089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090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091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092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093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094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095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096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097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098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099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0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1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2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3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4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5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6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7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8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09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0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1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2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3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4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5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6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7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8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19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0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1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2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3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4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5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6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7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8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29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0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1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2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3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4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5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6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7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8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39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0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1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2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3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4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5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6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7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8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149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50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4151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4152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4153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4154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4155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4156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57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58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59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4160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4161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62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63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64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65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66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67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68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69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70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71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72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4173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4174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4175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76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77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78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79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0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1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2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3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4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5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6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7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8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89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90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91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4192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3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733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734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3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736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737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738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3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740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741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742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743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744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745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746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747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8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8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8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8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8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66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267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268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269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270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271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272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73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74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75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276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277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78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79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80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81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82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83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84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85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86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87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88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289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290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291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2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3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4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5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6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7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8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299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0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1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2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3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4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5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6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7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308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309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310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311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312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313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314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315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316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317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318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19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0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1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2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3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4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5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6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7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8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29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0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1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2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3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4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5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6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7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8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39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0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1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2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3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4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5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6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7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8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49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0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1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2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3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4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5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6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7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8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59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0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1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2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3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4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5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6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7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8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69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370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71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372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373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374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375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376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377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78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79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80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381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382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83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84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85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86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87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88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89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90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91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92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93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394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395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396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97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98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399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0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1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2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3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4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5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6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7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8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09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10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11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12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413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0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0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80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0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80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81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81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1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81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81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81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1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1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1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819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820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487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488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489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490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491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492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493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494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495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496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497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498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499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00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01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02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03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04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505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506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507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508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509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510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511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512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3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4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5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6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7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8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19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0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1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2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3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4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5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6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7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8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529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530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531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532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533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534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535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536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537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538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539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0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1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2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3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4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5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6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7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8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49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0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1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2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3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4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5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6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7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8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59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0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1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2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3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4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5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6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7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8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69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0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1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2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3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4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5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6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7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8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79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0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1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2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3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4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5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6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7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8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89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90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591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592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593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594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595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596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597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598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599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00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01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602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603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04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05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06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07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08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09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10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11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12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13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14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615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616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617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18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19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0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1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2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3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4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5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6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7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8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29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30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31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32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33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634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7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7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88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8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882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883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88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88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886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887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888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8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9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89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892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89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8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08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709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710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711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712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713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714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15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16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17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718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719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20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21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22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23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24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25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26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27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28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29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30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731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732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733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34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35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36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37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38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39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0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1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2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3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4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5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6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7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8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49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750" name="Line 5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75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75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75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475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475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475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75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475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75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476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6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7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8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79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0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1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1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481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13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814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815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816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817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818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819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20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21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22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23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24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25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26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27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28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29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30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31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32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33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34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35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36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37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38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39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0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1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2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3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4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5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6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7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8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49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0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1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2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3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4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5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5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85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85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85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86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486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486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6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6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6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6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6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6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6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7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7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7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7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7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7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7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7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7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487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8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488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8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489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95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95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95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95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95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95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95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95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95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96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96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96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96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96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965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966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9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0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7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97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97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97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97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497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497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7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8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8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98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98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8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8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8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8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8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8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9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9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9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9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9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499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99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499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9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499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0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1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1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1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01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5014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015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016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017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018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019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020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021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022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023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024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25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26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27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28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29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0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1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2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3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4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5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6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7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8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39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0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1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2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3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4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5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6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7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8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49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0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1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2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3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4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5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6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7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8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59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0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1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2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3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4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5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6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7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8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69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0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1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2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3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4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5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076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77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078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079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080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081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082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083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84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85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86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087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088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89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90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91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92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93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094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95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96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97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98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099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100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101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102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3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4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5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6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7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8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09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0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1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2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3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4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5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6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7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8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119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02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102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1026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02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1028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5715</xdr:colOff>
      <xdr:row>22</xdr:row>
      <xdr:rowOff>0</xdr:rowOff>
    </xdr:to>
    <xdr:cxnSp>
      <xdr:nvCxnSpPr>
        <xdr:cNvPr id="1029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103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03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103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5715</xdr:colOff>
      <xdr:row>22</xdr:row>
      <xdr:rowOff>0</xdr:rowOff>
    </xdr:to>
    <xdr:cxnSp>
      <xdr:nvCxnSpPr>
        <xdr:cNvPr id="103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103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103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1036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1037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1038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1039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0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19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19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19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19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19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19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19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0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0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0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20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20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0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0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0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0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0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1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1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1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1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1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1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21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21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21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1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2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3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3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3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3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23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235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236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237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238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239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240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241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242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243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244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45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46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47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48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49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0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1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2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3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4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5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6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7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8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59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0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1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2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3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4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5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6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7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8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69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0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1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2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3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4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5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6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7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8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79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0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1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2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3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4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5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6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7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8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89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0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1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2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3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4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5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296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297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5298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5299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5300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5301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5302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5303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04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05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06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5307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5308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09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10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11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12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13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14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15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16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17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18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19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5320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5321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5322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3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4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5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6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7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8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29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0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1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2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3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4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5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6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7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8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5339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09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09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09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10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101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102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10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10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10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10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10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0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0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1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111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112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1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41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41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41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41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41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41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2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2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2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42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42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2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2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2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2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2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3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3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3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3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3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3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43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43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43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3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4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5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5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5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5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45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5455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456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457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458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459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460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461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462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463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464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465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66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67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68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69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0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1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2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3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4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5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6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7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8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79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0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1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2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3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4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5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6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7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8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89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0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1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2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3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4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5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6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7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8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499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0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1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2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3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4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5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6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7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8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09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0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1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2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3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4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5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6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517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18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519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520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521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522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523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524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25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26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27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528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529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30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31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32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33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34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35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36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37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38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39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40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541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542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543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44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45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46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47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48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49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0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1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2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3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4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5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6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7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8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59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560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17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7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172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17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174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175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176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17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178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179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18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8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8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18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18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185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1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3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63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63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63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63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63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64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4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4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4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64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64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4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4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4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4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5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5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5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5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5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5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5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65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65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65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6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7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7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7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7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7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67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5676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5677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5678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5679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5680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5681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5682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5683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5684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5685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5686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87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88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89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0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1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2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3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4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5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6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7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8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699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0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1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2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3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4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5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6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7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8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09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0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1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2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3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4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5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6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7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8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19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0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1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2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3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4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5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6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7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8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29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0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1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2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3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4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5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6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7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5738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39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740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741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742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743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744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745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46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47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48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749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750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51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52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53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54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55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56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57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58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59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60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61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762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763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764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65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66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67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68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69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0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1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2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3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4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5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6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7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8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79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80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781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24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24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24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24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247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248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24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25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251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252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25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25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25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25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257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258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2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3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55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856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857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858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859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5860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5861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62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63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64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865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866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67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68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69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70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71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72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73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74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75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76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77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5878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879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5880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1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2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3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4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5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6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7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8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89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0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1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2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3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4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5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5896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5897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898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899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900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5901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5902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5903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904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5905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906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5907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08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09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0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1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2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3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4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5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6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7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8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19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0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1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2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3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4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5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6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7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8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29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0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1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2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3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4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5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6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7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8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39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0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1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2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3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4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5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6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7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8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49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0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1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2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3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4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5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6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7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8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5959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60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961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962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963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964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5965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5966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67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68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69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970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971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72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73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74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75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76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77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78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79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80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81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82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5983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984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5985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86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87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88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89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0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1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2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3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4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5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6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7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8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5999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000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001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002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31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131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1318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31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1320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1321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1322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32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1324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1325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1326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132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132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132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1330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1331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3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76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077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078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079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080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081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082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83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84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85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086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087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88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89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90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91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92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093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94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95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96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97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98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099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100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101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2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3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4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5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6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7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8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09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0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1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2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3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4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5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6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117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6118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119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120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121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122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123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124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125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126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127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128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29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0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1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2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3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4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5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6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7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8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39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0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1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2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3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4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5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6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7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8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49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0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1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2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3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4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5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6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7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8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59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0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1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2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3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4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5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6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7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8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69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0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1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2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3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4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5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6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7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8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79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180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81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182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183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184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185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186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187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188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189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190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191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192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93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94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95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96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97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198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199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200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201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202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203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204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205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206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07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08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09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0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1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2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3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4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5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6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7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8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19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20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21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22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223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38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39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39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39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39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39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39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39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397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398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39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0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0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0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40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40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297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298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299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300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301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302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303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04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05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06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307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308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09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10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11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12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13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14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15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16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17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18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19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320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321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322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3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4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5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6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7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8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29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0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1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2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3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4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5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6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7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338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6339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340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341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342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343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344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345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346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347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348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349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0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1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2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3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4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5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6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7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8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59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0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1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2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3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4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5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6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7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8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69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0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1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2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3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4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5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6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7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8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79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0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1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2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3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4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5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6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7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8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89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0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1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2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3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4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5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6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7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8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399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400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401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02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403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404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405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406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407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408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09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10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11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412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413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14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15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16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17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18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19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20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21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22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23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24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425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426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427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28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29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0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1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2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3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4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5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6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7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8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39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40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41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42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43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444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46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6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46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46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466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467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468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46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470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471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472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7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7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47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476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477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4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18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519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520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521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522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523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524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25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26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27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528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529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30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31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32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33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34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35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36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37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38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39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40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541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542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543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44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45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46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47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48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49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0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1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2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3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4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5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6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7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8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559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6560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56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56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56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56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56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56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56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56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56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57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7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8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59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0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1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2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2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62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23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624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625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626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627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26628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26629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30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31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32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633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634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35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36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37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38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39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40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41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42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43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44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45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26646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647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26648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49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0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1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2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3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4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5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6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7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8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59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60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61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62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63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64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26665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53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53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53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53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53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54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54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54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54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54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54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54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54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54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549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550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5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39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740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741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742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743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744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745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46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47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48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749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750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51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52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53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54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55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56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57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58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59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60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61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762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763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764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65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66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67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68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69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0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1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2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3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4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5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6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7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8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79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780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6781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782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783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784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6785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6786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6787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788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6789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790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6791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2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3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4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5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6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7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8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799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0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1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2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3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4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5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6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7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8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09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0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1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2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3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4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5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6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7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8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19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0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1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2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3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4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5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6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7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8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29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0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1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2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3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4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5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6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7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8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39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40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41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42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6843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44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6845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6846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6847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6848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6849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6850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51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52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53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6854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6855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56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57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58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59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60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61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62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63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64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65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66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6867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6868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6869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0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1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2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3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4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5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6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7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8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79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0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1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2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3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4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5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6886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60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0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61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61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612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613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61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61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616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617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618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1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2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2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622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62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60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961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962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963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964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6965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6966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67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68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69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970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971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72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73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74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75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76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77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78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79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80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81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82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6983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984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6985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86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87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88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89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0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1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2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3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4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5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6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7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8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6999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000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001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7002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700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700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700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700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700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700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700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701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701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701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1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2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3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4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5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6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6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6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6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06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6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06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06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06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06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07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07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7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7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7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07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07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7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7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7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8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8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8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8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8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8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8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8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08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08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09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09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10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68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8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68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68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68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68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68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68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68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69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69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9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9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69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695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696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6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8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18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18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18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18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18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18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18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18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19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19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19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9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9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9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9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9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19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19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20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20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20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20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20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20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20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0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0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0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1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2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2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22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7223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7224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7225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7226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7227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7228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7229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7230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7231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7232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7233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34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35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36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37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38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39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0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1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2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3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4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5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6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7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8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49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0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1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2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3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4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5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6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7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8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59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0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1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2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3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4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5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6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7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8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69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0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1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2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3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4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5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6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7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8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79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80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81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82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83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84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285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28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28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28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28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29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29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29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29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29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29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29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29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29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29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0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0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0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0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30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30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30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30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30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30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31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31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1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32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75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75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756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75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758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759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76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76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762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763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76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76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76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76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768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769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7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0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40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40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40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40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40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40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0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1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1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41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41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1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1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1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1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1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1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2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2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2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2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2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42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42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42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2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2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3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4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4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4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44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7444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7445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7446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7447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7448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7449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7450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7451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7452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7453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7454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55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56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57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58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59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0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1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2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3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4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5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6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7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8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69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0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1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2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3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4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5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6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7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8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79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0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1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2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3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4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5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6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7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8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89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0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1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2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3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4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5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6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7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8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499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0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1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2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3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4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5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7506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07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508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509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510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511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512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513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14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15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16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517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518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19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20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21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22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23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24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25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26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27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28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29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530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531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532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3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4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5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6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7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8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39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0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1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2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3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4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5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6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7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8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549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82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82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82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83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831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832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83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83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183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183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183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83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83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184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841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1842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18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2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62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62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62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62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62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62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3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3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3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63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63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3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3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3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3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3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4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4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4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4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4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4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64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64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64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4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5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6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6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6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6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66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7665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7666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7667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7668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7669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7670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7671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7672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7673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7674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7675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76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77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78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79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0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1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2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3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4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5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6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7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8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89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0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1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2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3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4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5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6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7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8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699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0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1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2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3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4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5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6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7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8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09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0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1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2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3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4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5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6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7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8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19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0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1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2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3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4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5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6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727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28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729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730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731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732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7733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7734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35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36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37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738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739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40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41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42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43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44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45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46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47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48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49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50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7751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752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7753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54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55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56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57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58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59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0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1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2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3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4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5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6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7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8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69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7770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49</xdr:row>
      <xdr:rowOff>0</xdr:rowOff>
    </xdr:from>
    <xdr:to>
      <xdr:col>11</xdr:col>
      <xdr:colOff>0</xdr:colOff>
      <xdr:row>50</xdr:row>
      <xdr:rowOff>0</xdr:rowOff>
    </xdr:to>
    <xdr:cxnSp>
      <xdr:nvCxnSpPr>
        <xdr:cNvPr id="1900" name="line"/>
        <xdr:cNvCxnSpPr/>
      </xdr:nvCxnSpPr>
      <xdr:spPr>
        <a:xfrm>
          <a:off x="7040880" y="11182985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50</xdr:row>
      <xdr:rowOff>0</xdr:rowOff>
    </xdr:from>
    <xdr:to>
      <xdr:col>1</xdr:col>
      <xdr:colOff>617260</xdr:colOff>
      <xdr:row>50</xdr:row>
      <xdr:rowOff>0</xdr:rowOff>
    </xdr:to>
    <xdr:cxnSp>
      <xdr:nvCxnSpPr>
        <xdr:cNvPr id="1901" name="line"/>
        <xdr:cNvCxnSpPr/>
      </xdr:nvCxnSpPr>
      <xdr:spPr>
        <a:xfrm>
          <a:off x="1257300" y="1140650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3175</xdr:colOff>
      <xdr:row>50</xdr:row>
      <xdr:rowOff>0</xdr:rowOff>
    </xdr:to>
    <xdr:cxnSp>
      <xdr:nvCxnSpPr>
        <xdr:cNvPr id="1902" name="line"/>
        <xdr:cNvCxnSpPr/>
      </xdr:nvCxnSpPr>
      <xdr:spPr>
        <a:xfrm flipH="1">
          <a:off x="0" y="11406505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49</xdr:row>
      <xdr:rowOff>0</xdr:rowOff>
    </xdr:from>
    <xdr:to>
      <xdr:col>11</xdr:col>
      <xdr:colOff>0</xdr:colOff>
      <xdr:row>50</xdr:row>
      <xdr:rowOff>0</xdr:rowOff>
    </xdr:to>
    <xdr:cxnSp>
      <xdr:nvCxnSpPr>
        <xdr:cNvPr id="1903" name="line"/>
        <xdr:cNvCxnSpPr/>
      </xdr:nvCxnSpPr>
      <xdr:spPr>
        <a:xfrm>
          <a:off x="7040880" y="11182985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50</xdr:row>
      <xdr:rowOff>0</xdr:rowOff>
    </xdr:from>
    <xdr:to>
      <xdr:col>5</xdr:col>
      <xdr:colOff>7261</xdr:colOff>
      <xdr:row>50</xdr:row>
      <xdr:rowOff>0</xdr:rowOff>
    </xdr:to>
    <xdr:cxnSp>
      <xdr:nvCxnSpPr>
        <xdr:cNvPr id="1904" name="line"/>
        <xdr:cNvCxnSpPr/>
      </xdr:nvCxnSpPr>
      <xdr:spPr>
        <a:xfrm>
          <a:off x="3207385" y="1140650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7261</xdr:colOff>
      <xdr:row>41</xdr:row>
      <xdr:rowOff>0</xdr:rowOff>
    </xdr:to>
    <xdr:cxnSp>
      <xdr:nvCxnSpPr>
        <xdr:cNvPr id="1905" name="line"/>
        <xdr:cNvCxnSpPr/>
      </xdr:nvCxnSpPr>
      <xdr:spPr>
        <a:xfrm flipH="1">
          <a:off x="7040880" y="9213850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3175</xdr:colOff>
      <xdr:row>50</xdr:row>
      <xdr:rowOff>0</xdr:rowOff>
    </xdr:to>
    <xdr:cxnSp>
      <xdr:nvCxnSpPr>
        <xdr:cNvPr id="1906" name="line"/>
        <xdr:cNvCxnSpPr/>
      </xdr:nvCxnSpPr>
      <xdr:spPr>
        <a:xfrm flipH="1">
          <a:off x="0" y="11406505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49</xdr:row>
      <xdr:rowOff>0</xdr:rowOff>
    </xdr:from>
    <xdr:to>
      <xdr:col>11</xdr:col>
      <xdr:colOff>0</xdr:colOff>
      <xdr:row>50</xdr:row>
      <xdr:rowOff>0</xdr:rowOff>
    </xdr:to>
    <xdr:cxnSp>
      <xdr:nvCxnSpPr>
        <xdr:cNvPr id="1907" name="line"/>
        <xdr:cNvCxnSpPr/>
      </xdr:nvCxnSpPr>
      <xdr:spPr>
        <a:xfrm>
          <a:off x="7040880" y="11182985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50</xdr:row>
      <xdr:rowOff>0</xdr:rowOff>
    </xdr:from>
    <xdr:to>
      <xdr:col>5</xdr:col>
      <xdr:colOff>7261</xdr:colOff>
      <xdr:row>50</xdr:row>
      <xdr:rowOff>0</xdr:rowOff>
    </xdr:to>
    <xdr:cxnSp>
      <xdr:nvCxnSpPr>
        <xdr:cNvPr id="1908" name="line"/>
        <xdr:cNvCxnSpPr/>
      </xdr:nvCxnSpPr>
      <xdr:spPr>
        <a:xfrm>
          <a:off x="3207385" y="1140650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7261</xdr:colOff>
      <xdr:row>41</xdr:row>
      <xdr:rowOff>0</xdr:rowOff>
    </xdr:to>
    <xdr:cxnSp>
      <xdr:nvCxnSpPr>
        <xdr:cNvPr id="1909" name="line"/>
        <xdr:cNvCxnSpPr/>
      </xdr:nvCxnSpPr>
      <xdr:spPr>
        <a:xfrm flipH="1">
          <a:off x="7040880" y="9213850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3175</xdr:colOff>
      <xdr:row>50</xdr:row>
      <xdr:rowOff>0</xdr:rowOff>
    </xdr:to>
    <xdr:cxnSp>
      <xdr:nvCxnSpPr>
        <xdr:cNvPr id="1910" name="line"/>
        <xdr:cNvCxnSpPr/>
      </xdr:nvCxnSpPr>
      <xdr:spPr>
        <a:xfrm flipH="1">
          <a:off x="0" y="11406505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50</xdr:row>
      <xdr:rowOff>0</xdr:rowOff>
    </xdr:from>
    <xdr:to>
      <xdr:col>1</xdr:col>
      <xdr:colOff>617260</xdr:colOff>
      <xdr:row>50</xdr:row>
      <xdr:rowOff>0</xdr:rowOff>
    </xdr:to>
    <xdr:cxnSp>
      <xdr:nvCxnSpPr>
        <xdr:cNvPr id="1911" name="line"/>
        <xdr:cNvCxnSpPr/>
      </xdr:nvCxnSpPr>
      <xdr:spPr>
        <a:xfrm>
          <a:off x="1257300" y="1140650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50</xdr:row>
      <xdr:rowOff>0</xdr:rowOff>
    </xdr:from>
    <xdr:to>
      <xdr:col>1</xdr:col>
      <xdr:colOff>617260</xdr:colOff>
      <xdr:row>50</xdr:row>
      <xdr:rowOff>0</xdr:rowOff>
    </xdr:to>
    <xdr:cxnSp>
      <xdr:nvCxnSpPr>
        <xdr:cNvPr id="1912" name="line"/>
        <xdr:cNvCxnSpPr/>
      </xdr:nvCxnSpPr>
      <xdr:spPr>
        <a:xfrm>
          <a:off x="1257300" y="1140650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50</xdr:row>
      <xdr:rowOff>0</xdr:rowOff>
    </xdr:from>
    <xdr:to>
      <xdr:col>1</xdr:col>
      <xdr:colOff>617260</xdr:colOff>
      <xdr:row>50</xdr:row>
      <xdr:rowOff>0</xdr:rowOff>
    </xdr:to>
    <xdr:cxnSp>
      <xdr:nvCxnSpPr>
        <xdr:cNvPr id="1913" name="line"/>
        <xdr:cNvCxnSpPr/>
      </xdr:nvCxnSpPr>
      <xdr:spPr>
        <a:xfrm>
          <a:off x="1257300" y="1140650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51</xdr:row>
      <xdr:rowOff>0</xdr:rowOff>
    </xdr:from>
    <xdr:to>
      <xdr:col>1</xdr:col>
      <xdr:colOff>617260</xdr:colOff>
      <xdr:row>51</xdr:row>
      <xdr:rowOff>0</xdr:rowOff>
    </xdr:to>
    <xdr:cxnSp>
      <xdr:nvCxnSpPr>
        <xdr:cNvPr id="1914" name="line"/>
        <xdr:cNvCxnSpPr/>
      </xdr:nvCxnSpPr>
      <xdr:spPr>
        <a:xfrm>
          <a:off x="1257300" y="1158748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51</xdr:row>
      <xdr:rowOff>0</xdr:rowOff>
    </xdr:from>
    <xdr:to>
      <xdr:col>1</xdr:col>
      <xdr:colOff>617260</xdr:colOff>
      <xdr:row>51</xdr:row>
      <xdr:rowOff>0</xdr:rowOff>
    </xdr:to>
    <xdr:cxnSp>
      <xdr:nvCxnSpPr>
        <xdr:cNvPr id="1915" name="line"/>
        <xdr:cNvCxnSpPr/>
      </xdr:nvCxnSpPr>
      <xdr:spPr>
        <a:xfrm>
          <a:off x="1257300" y="1158748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16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17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18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19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0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1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2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3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4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5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6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7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8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29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0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1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2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3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4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5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6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7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8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39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0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1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2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3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4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5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6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7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8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49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0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1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2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3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4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5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6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7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8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59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0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1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2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3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4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5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6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7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8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69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70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71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0</xdr:rowOff>
    </xdr:to>
    <xdr:cxnSp>
      <xdr:nvCxnSpPr>
        <xdr:cNvPr id="1972" name="line"/>
        <xdr:cNvCxnSpPr/>
      </xdr:nvCxnSpPr>
      <xdr:spPr>
        <a:xfrm>
          <a:off x="7040880" y="11406505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97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1974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1975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97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1977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1978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1979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198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1981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1982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1983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1984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1985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1986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1987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1988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19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17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918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919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920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921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7922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7923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24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25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26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927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928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29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30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31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32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33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34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35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36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37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38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39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7940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941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7942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3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4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5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6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7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8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49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0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1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2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3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4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5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6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7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7958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7959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7960" name="Line 3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7961" name="Line 4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7962" name="Line 5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6985</xdr:colOff>
      <xdr:row>69</xdr:row>
      <xdr:rowOff>0</xdr:rowOff>
    </xdr:from>
    <xdr:to>
      <xdr:col>5</xdr:col>
      <xdr:colOff>6985</xdr:colOff>
      <xdr:row>69</xdr:row>
      <xdr:rowOff>0</xdr:rowOff>
    </xdr:to>
    <xdr:sp>
      <xdr:nvSpPr>
        <xdr:cNvPr id="2427963" name="Line 8"/>
        <xdr:cNvSpPr/>
      </xdr:nvSpPr>
      <xdr:spPr>
        <a:xfrm>
          <a:off x="3207385" y="15769590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6985</xdr:colOff>
      <xdr:row>60</xdr:row>
      <xdr:rowOff>0</xdr:rowOff>
    </xdr:to>
    <xdr:sp>
      <xdr:nvSpPr>
        <xdr:cNvPr id="2427964" name="Line 9"/>
        <xdr:cNvSpPr/>
      </xdr:nvSpPr>
      <xdr:spPr>
        <a:xfrm flipH="1">
          <a:off x="7040880" y="13576935"/>
          <a:ext cx="6985" cy="1809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6985</xdr:colOff>
      <xdr:row>69</xdr:row>
      <xdr:rowOff>6985</xdr:rowOff>
    </xdr:to>
    <xdr:sp>
      <xdr:nvSpPr>
        <xdr:cNvPr id="2427965" name="Line 10"/>
        <xdr:cNvSpPr/>
      </xdr:nvSpPr>
      <xdr:spPr>
        <a:xfrm flipH="1">
          <a:off x="0" y="15769590"/>
          <a:ext cx="698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7966" name="Line 13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69</xdr:row>
      <xdr:rowOff>0</xdr:rowOff>
    </xdr:from>
    <xdr:to>
      <xdr:col>2</xdr:col>
      <xdr:colOff>0</xdr:colOff>
      <xdr:row>69</xdr:row>
      <xdr:rowOff>6985</xdr:rowOff>
    </xdr:to>
    <xdr:sp>
      <xdr:nvSpPr>
        <xdr:cNvPr id="2427967" name="Line 14"/>
        <xdr:cNvSpPr/>
      </xdr:nvSpPr>
      <xdr:spPr>
        <a:xfrm>
          <a:off x="1130935" y="15769590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7968" name="Line 15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490855</xdr:colOff>
      <xdr:row>70</xdr:row>
      <xdr:rowOff>0</xdr:rowOff>
    </xdr:from>
    <xdr:to>
      <xdr:col>2</xdr:col>
      <xdr:colOff>0</xdr:colOff>
      <xdr:row>70</xdr:row>
      <xdr:rowOff>6985</xdr:rowOff>
    </xdr:to>
    <xdr:sp>
      <xdr:nvSpPr>
        <xdr:cNvPr id="2427969" name="Line 16"/>
        <xdr:cNvSpPr/>
      </xdr:nvSpPr>
      <xdr:spPr>
        <a:xfrm>
          <a:off x="1130935" y="15950565"/>
          <a:ext cx="149225" cy="69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0" name="Line 1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1" name="Line 1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2" name="Line 1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3" name="Line 2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4" name="Line 2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5" name="Line 2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6" name="Line 2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7" name="Line 2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8" name="Line 2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79" name="Line 2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0" name="Line 2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1" name="Line 2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2" name="Line 2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3" name="Line 3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4" name="Line 3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5" name="Line 3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6" name="Line 3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7" name="Line 3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8" name="Line 3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89" name="Line 3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0" name="Line 3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1" name="Line 3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2" name="Line 3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3" name="Line 4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4" name="Line 4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5" name="Line 4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6" name="Line 4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7" name="Line 4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8" name="Line 4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7999" name="Line 4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0" name="Line 4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1" name="Line 4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2" name="Line 4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3" name="Line 5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4" name="Line 5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5" name="Line 5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6" name="Line 5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7" name="Line 5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8" name="Line 5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09" name="Line 5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0" name="Line 5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1" name="Line 5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2" name="Line 59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3" name="Line 60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4" name="Line 61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5" name="Line 62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6" name="Line 63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7" name="Line 64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8" name="Line 65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19" name="Line 66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20" name="Line 67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31750</xdr:rowOff>
    </xdr:to>
    <xdr:sp>
      <xdr:nvSpPr>
        <xdr:cNvPr id="2428021" name="Line 68"/>
        <xdr:cNvSpPr/>
      </xdr:nvSpPr>
      <xdr:spPr>
        <a:xfrm>
          <a:off x="7040880" y="15769590"/>
          <a:ext cx="0" cy="12725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22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023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024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025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026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027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028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29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30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31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032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033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34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35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36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37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38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39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40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41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42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43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44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045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046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047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48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49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0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1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2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3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4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5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6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7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8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59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60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61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62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63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064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04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2047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2048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04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2050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2051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2052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05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7261</xdr:colOff>
      <xdr:row>31</xdr:row>
      <xdr:rowOff>0</xdr:rowOff>
    </xdr:from>
    <xdr:to>
      <xdr:col>5</xdr:col>
      <xdr:colOff>7261</xdr:colOff>
      <xdr:row>31</xdr:row>
      <xdr:rowOff>0</xdr:rowOff>
    </xdr:to>
    <xdr:cxnSp>
      <xdr:nvCxnSpPr>
        <xdr:cNvPr id="2054" name="line"/>
        <xdr:cNvCxnSpPr/>
      </xdr:nvCxnSpPr>
      <xdr:spPr>
        <a:xfrm>
          <a:off x="320738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7261</xdr:colOff>
      <xdr:row>22</xdr:row>
      <xdr:rowOff>0</xdr:rowOff>
    </xdr:to>
    <xdr:cxnSp>
      <xdr:nvCxnSpPr>
        <xdr:cNvPr id="2055" name="line"/>
        <xdr:cNvCxnSpPr/>
      </xdr:nvCxnSpPr>
      <xdr:spPr>
        <a:xfrm flipH="1">
          <a:off x="7040880" y="4845685"/>
          <a:ext cx="698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3175</xdr:colOff>
      <xdr:row>31</xdr:row>
      <xdr:rowOff>0</xdr:rowOff>
    </xdr:to>
    <xdr:cxnSp>
      <xdr:nvCxnSpPr>
        <xdr:cNvPr id="2056" name="line"/>
        <xdr:cNvCxnSpPr/>
      </xdr:nvCxnSpPr>
      <xdr:spPr>
        <a:xfrm flipH="1">
          <a:off x="0" y="7038340"/>
          <a:ext cx="317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2057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2058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31</xdr:row>
      <xdr:rowOff>0</xdr:rowOff>
    </xdr:from>
    <xdr:to>
      <xdr:col>1</xdr:col>
      <xdr:colOff>617260</xdr:colOff>
      <xdr:row>31</xdr:row>
      <xdr:rowOff>0</xdr:rowOff>
    </xdr:to>
    <xdr:cxnSp>
      <xdr:nvCxnSpPr>
        <xdr:cNvPr id="2059" name="line"/>
        <xdr:cNvCxnSpPr/>
      </xdr:nvCxnSpPr>
      <xdr:spPr>
        <a:xfrm>
          <a:off x="125730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2060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617260</xdr:colOff>
      <xdr:row>32</xdr:row>
      <xdr:rowOff>0</xdr:rowOff>
    </xdr:from>
    <xdr:to>
      <xdr:col>1</xdr:col>
      <xdr:colOff>617260</xdr:colOff>
      <xdr:row>32</xdr:row>
      <xdr:rowOff>0</xdr:rowOff>
    </xdr:to>
    <xdr:cxnSp>
      <xdr:nvCxnSpPr>
        <xdr:cNvPr id="2061" name="line"/>
        <xdr:cNvCxnSpPr/>
      </xdr:nvCxnSpPr>
      <xdr:spPr>
        <a:xfrm>
          <a:off x="125730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0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1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38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139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140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141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142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143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144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45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46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47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148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149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50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51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52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53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54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55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56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57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58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59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60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161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162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163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64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65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66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67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68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69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0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1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2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3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4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5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6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7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8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179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8180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18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18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18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18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18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18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18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18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18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19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19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0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1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2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3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4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4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24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43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244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245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246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247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248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249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50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51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52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253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254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55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56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57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58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59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60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61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62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63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64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65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66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267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268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69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0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1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2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3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4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5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6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7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8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79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0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1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2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3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4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5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8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28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28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28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29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29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29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9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9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29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29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29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9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29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0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0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0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0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30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30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30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30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30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30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31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31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1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32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11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12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12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12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12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12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12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12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127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128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12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13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13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13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13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13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1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0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40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40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40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40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40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40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0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1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1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41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41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1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1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1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1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1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1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2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2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2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2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2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42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42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42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2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2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3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4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4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4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44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8444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445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446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447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448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449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450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451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452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453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454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55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56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57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58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59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0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1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2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3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4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5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6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7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8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69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0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1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2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3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4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5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6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7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8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79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0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1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2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3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4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5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6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7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8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89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0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1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2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3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4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5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6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7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8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499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0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1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2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3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4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5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506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07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508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509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510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511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512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513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14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15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16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517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518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19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20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21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22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23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24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25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26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27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28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29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530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531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532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3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4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5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6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7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8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39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0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1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2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3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4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5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6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7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8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549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19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19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19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19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196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197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198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19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200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201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202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0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0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0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206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207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62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62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62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62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62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62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62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63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63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63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3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4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5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6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7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8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8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8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8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68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68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68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68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68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68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69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69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69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69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69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69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69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69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69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69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0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0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0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70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70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70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70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70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70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70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71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1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72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26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6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26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26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26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27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27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27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273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274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275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7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7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27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279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280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2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01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802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803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804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805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8806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8807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08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09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10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811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812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13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14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15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16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17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18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19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20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21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22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23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8824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825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8826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27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28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29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0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1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2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3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4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5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6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7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8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39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40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41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8842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8843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844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845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846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8847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8848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8849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850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8851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852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8853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54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55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56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57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58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59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0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1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2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3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4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5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6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7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8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69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0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1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2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3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4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5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6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7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8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79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0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1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2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3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4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5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6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7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8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89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0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1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2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3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4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5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6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7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8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899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900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901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902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903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904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8905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0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90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90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90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91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891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891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1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1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1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91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91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1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1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2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2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2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2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2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2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2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2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2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892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93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893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3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894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33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33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34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34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342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343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34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34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346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347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348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34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35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35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352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35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3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22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023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024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025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026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027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028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29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30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31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032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033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34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35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36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37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38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39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40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41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42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43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44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045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046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047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48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49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0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1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2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3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4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5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6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7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8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59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60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61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62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063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9064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065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066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067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068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069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070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071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072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073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074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75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76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77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78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79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0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1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2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3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4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5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6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7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8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89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0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1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2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3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4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5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6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7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8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099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0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1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2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3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4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5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6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7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8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09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0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1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2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3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4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5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6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7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8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19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0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1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2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3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4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5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126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27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128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129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130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131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132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133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34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35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36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137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138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39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40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41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42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43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44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45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46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47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48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49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150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151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152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3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4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5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6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7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8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59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0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1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2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3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4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5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6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7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8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169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41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1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41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41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41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41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41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41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419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420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421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2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2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2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425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426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4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43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244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245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246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247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248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249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50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51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52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253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254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55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56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57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58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59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60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61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62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63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64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65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266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267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268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69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0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1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2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3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4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5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6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7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8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79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80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81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82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83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284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9285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286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287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288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289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290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291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292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293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294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295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296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297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298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299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0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1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2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3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4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5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6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7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8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09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0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1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2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3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4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5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6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7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8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19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0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1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2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3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4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5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6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7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8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29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0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1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2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3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4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5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6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7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8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39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0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1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2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3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4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5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6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347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48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349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350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351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352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353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354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55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56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57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358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359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60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61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62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63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64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65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66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67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68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69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70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371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372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373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74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75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76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77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78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79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0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1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2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3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4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5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6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7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8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89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390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48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8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486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48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488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489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49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49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492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493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494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9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9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497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498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499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3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64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465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466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467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468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469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470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71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72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73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474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475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76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77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78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79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80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81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82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83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84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85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86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487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488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489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0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1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2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3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4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5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6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7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8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499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500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501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502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503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504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505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9506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507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508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509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510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511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512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513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514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515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516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17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18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19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0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1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2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3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4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5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6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7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8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29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0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1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2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3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4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5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6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7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8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39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0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1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2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3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4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5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6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7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8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49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0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1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2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3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4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5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6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7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8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59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0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1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2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3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4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5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6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7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568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69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570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571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572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573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574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575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76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77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78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579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580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81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82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83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84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85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86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87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88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89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90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91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592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593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594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95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96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97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98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599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0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1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2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3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4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5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6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7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8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09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10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611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55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55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559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56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561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562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563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56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565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566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567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568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569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57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571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572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5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0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1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2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685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686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687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688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689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690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691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692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693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694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695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696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697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698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699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00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01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02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03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04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05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06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07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08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709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710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1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2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3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4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5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6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7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8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19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0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1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2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3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4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5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26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9727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728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729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730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731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732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733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734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735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736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29737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38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39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0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1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2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3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4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5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6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7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8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49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0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1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2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3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4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5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6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7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8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59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0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1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2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3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4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5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6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7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8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69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0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1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2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3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4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5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6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7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8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79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0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1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2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3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4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5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6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7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8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29789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790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791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792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793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794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795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796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97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98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799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800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801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02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03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04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05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06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07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808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809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810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811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812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813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814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815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16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17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18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19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0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1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2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3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4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5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6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7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8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29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30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831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9832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33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834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835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836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837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429838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429839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40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41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42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843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844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45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46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47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48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49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50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51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52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53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54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55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429856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857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429858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59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0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1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2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3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4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5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6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7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8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69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70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71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72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73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74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429875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63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63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632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63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634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635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636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63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8472</xdr:colOff>
      <xdr:row>31</xdr:row>
      <xdr:rowOff>0</xdr:rowOff>
    </xdr:from>
    <xdr:to>
      <xdr:col>5</xdr:col>
      <xdr:colOff>8472</xdr:colOff>
      <xdr:row>31</xdr:row>
      <xdr:rowOff>0</xdr:rowOff>
    </xdr:to>
    <xdr:cxnSp>
      <xdr:nvCxnSpPr>
        <xdr:cNvPr id="2638" name="line"/>
        <xdr:cNvCxnSpPr/>
      </xdr:nvCxnSpPr>
      <xdr:spPr>
        <a:xfrm>
          <a:off x="320865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8472</xdr:colOff>
      <xdr:row>22</xdr:row>
      <xdr:rowOff>0</xdr:rowOff>
    </xdr:to>
    <xdr:cxnSp>
      <xdr:nvCxnSpPr>
        <xdr:cNvPr id="2639" name="line"/>
        <xdr:cNvCxnSpPr/>
      </xdr:nvCxnSpPr>
      <xdr:spPr>
        <a:xfrm flipH="1">
          <a:off x="7040880" y="4845685"/>
          <a:ext cx="825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7261</xdr:colOff>
      <xdr:row>31</xdr:row>
      <xdr:rowOff>0</xdr:rowOff>
    </xdr:to>
    <xdr:cxnSp>
      <xdr:nvCxnSpPr>
        <xdr:cNvPr id="2640" name="line"/>
        <xdr:cNvCxnSpPr/>
      </xdr:nvCxnSpPr>
      <xdr:spPr>
        <a:xfrm flipH="1">
          <a:off x="0" y="7038340"/>
          <a:ext cx="6985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64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64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31</xdr:row>
      <xdr:rowOff>0</xdr:rowOff>
    </xdr:from>
    <xdr:to>
      <xdr:col>1</xdr:col>
      <xdr:colOff>618470</xdr:colOff>
      <xdr:row>31</xdr:row>
      <xdr:rowOff>0</xdr:rowOff>
    </xdr:to>
    <xdr:cxnSp>
      <xdr:nvCxnSpPr>
        <xdr:cNvPr id="2643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64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618470</xdr:colOff>
      <xdr:row>32</xdr:row>
      <xdr:rowOff>0</xdr:rowOff>
    </xdr:from>
    <xdr:to>
      <xdr:col>1</xdr:col>
      <xdr:colOff>618470</xdr:colOff>
      <xdr:row>32</xdr:row>
      <xdr:rowOff>0</xdr:rowOff>
    </xdr:to>
    <xdr:cxnSp>
      <xdr:nvCxnSpPr>
        <xdr:cNvPr id="2645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4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4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4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4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5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6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7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8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3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4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5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6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7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8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699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00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01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11906</xdr:rowOff>
    </xdr:to>
    <xdr:cxnSp>
      <xdr:nvCxnSpPr>
        <xdr:cNvPr id="2702" name="line"/>
        <xdr:cNvCxnSpPr/>
      </xdr:nvCxnSpPr>
      <xdr:spPr>
        <a:xfrm>
          <a:off x="7040880" y="7038340"/>
          <a:ext cx="0" cy="12522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49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950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951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952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953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29954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29955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56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57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58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959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960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61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62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63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64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65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66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67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68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69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70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71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29972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973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29974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75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76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77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78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79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0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1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2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3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4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5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6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7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8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89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29990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29991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992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993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994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29995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29996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29997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998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29999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30000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30001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2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3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4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5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6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7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8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09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0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1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2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3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4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5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6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7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8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19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0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1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2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3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4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5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6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7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8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29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0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1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2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3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4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5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6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7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8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39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0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1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2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3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4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5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6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7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8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49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50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51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52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053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54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30055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30056" name="Line 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30057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30058" name="Line 10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430059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8890</xdr:rowOff>
    </xdr:to>
    <xdr:sp>
      <xdr:nvSpPr>
        <xdr:cNvPr id="2430060" name="Line 15"/>
        <xdr:cNvSpPr/>
      </xdr:nvSpPr>
      <xdr:spPr>
        <a:xfrm flipH="1">
          <a:off x="0" y="2675255"/>
          <a:ext cx="8255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61" name="Line 19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62" name="Line 2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63" name="Line 2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30064" name="Line 22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30065" name="Line 23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66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67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68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69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70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71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72" name="Line 30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73" name="Line 31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74" name="Line 32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75" name="Line 33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76" name="Line 34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8890</xdr:rowOff>
    </xdr:to>
    <xdr:sp>
      <xdr:nvSpPr>
        <xdr:cNvPr id="2430077" name="Line 35"/>
        <xdr:cNvSpPr/>
      </xdr:nvSpPr>
      <xdr:spPr>
        <a:xfrm>
          <a:off x="1129030" y="2675255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30078" name="Line 36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8890</xdr:rowOff>
    </xdr:to>
    <xdr:sp>
      <xdr:nvSpPr>
        <xdr:cNvPr id="2430079" name="Line 37"/>
        <xdr:cNvSpPr/>
      </xdr:nvSpPr>
      <xdr:spPr>
        <a:xfrm>
          <a:off x="1129030" y="2856230"/>
          <a:ext cx="151130" cy="889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0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1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2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3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4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5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6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7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8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89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0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1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2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3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4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5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430096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70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70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2705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70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2707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2708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2709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71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2711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2712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5080</xdr:colOff>
      <xdr:row>31</xdr:row>
      <xdr:rowOff>0</xdr:rowOff>
    </xdr:to>
    <xdr:cxnSp>
      <xdr:nvCxnSpPr>
        <xdr:cNvPr id="2713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714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715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716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2717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2718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7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70" name="Line 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30171" name="Line 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30172" name="Line 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30173" name="Line 8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30174" name="Line 10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430175" name="Line 13"/>
        <xdr:cNvSpPr/>
      </xdr:nvSpPr>
      <xdr:spPr>
        <a:xfrm>
          <a:off x="3208020" y="1140650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430176" name="Line 15"/>
        <xdr:cNvSpPr/>
      </xdr:nvSpPr>
      <xdr:spPr>
        <a:xfrm flipH="1">
          <a:off x="0" y="11406505"/>
          <a:ext cx="762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77" name="Line 19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78" name="Line 2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79" name="Line 2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30180" name="Line 22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30181" name="Line 23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82" name="Line 2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83" name="Line 2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84" name="Line 2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85" name="Line 2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86" name="Line 2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87" name="Line 2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88" name="Line 30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89" name="Line 31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90" name="Line 32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91" name="Line 33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92" name="Line 34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430193" name="Line 35"/>
        <xdr:cNvSpPr/>
      </xdr:nvSpPr>
      <xdr:spPr>
        <a:xfrm>
          <a:off x="1165860" y="11406505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30194" name="Line 36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430195" name="Line 37"/>
        <xdr:cNvSpPr/>
      </xdr:nvSpPr>
      <xdr:spPr>
        <a:xfrm>
          <a:off x="1165860" y="11587480"/>
          <a:ext cx="114300" cy="762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96" name="Line 3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97" name="Line 3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98" name="Line 4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199" name="Line 4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0" name="Line 4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1" name="Line 4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2" name="Line 44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3" name="Line 45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4" name="Line 46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5" name="Line 47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6" name="Line 48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7" name="Line 49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8" name="Line 50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09" name="Line 51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10" name="Line 52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430211" name="Line 53"/>
        <xdr:cNvSpPr/>
      </xdr:nvSpPr>
      <xdr:spPr>
        <a:xfrm>
          <a:off x="7040880" y="11406505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109855</xdr:colOff>
      <xdr:row>49</xdr:row>
      <xdr:rowOff>135255</xdr:rowOff>
    </xdr:from>
    <xdr:to>
      <xdr:col>11</xdr:col>
      <xdr:colOff>109855</xdr:colOff>
      <xdr:row>54</xdr:row>
      <xdr:rowOff>165735</xdr:rowOff>
    </xdr:to>
    <xdr:sp>
      <xdr:nvSpPr>
        <xdr:cNvPr id="2430212" name="Line 54"/>
        <xdr:cNvSpPr/>
      </xdr:nvSpPr>
      <xdr:spPr>
        <a:xfrm>
          <a:off x="7150735" y="11318240"/>
          <a:ext cx="0" cy="127127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3021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3021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3021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43021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43021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43021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3021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43022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3022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43022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2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3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4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5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6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7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7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7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7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43027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7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77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77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77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78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278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278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8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8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8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78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78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8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8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9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9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9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79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9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9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9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9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9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279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80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280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0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281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81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82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5446</xdr:colOff>
      <xdr:row>31</xdr:row>
      <xdr:rowOff>0</xdr:rowOff>
    </xdr:to>
    <xdr:cxnSp>
      <xdr:nvCxnSpPr>
        <xdr:cNvPr id="2821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82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2823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2824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5446</xdr:colOff>
      <xdr:row>31</xdr:row>
      <xdr:rowOff>0</xdr:rowOff>
    </xdr:to>
    <xdr:cxnSp>
      <xdr:nvCxnSpPr>
        <xdr:cNvPr id="2825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282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7867</xdr:colOff>
      <xdr:row>31</xdr:row>
      <xdr:rowOff>0</xdr:rowOff>
    </xdr:from>
    <xdr:to>
      <xdr:col>5</xdr:col>
      <xdr:colOff>7867</xdr:colOff>
      <xdr:row>31</xdr:row>
      <xdr:rowOff>0</xdr:rowOff>
    </xdr:to>
    <xdr:cxnSp>
      <xdr:nvCxnSpPr>
        <xdr:cNvPr id="2827" name="line"/>
        <xdr:cNvCxnSpPr/>
      </xdr:nvCxnSpPr>
      <xdr:spPr>
        <a:xfrm>
          <a:off x="320802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7867</xdr:colOff>
      <xdr:row>22</xdr:row>
      <xdr:rowOff>0</xdr:rowOff>
    </xdr:to>
    <xdr:cxnSp>
      <xdr:nvCxnSpPr>
        <xdr:cNvPr id="2828" name="line"/>
        <xdr:cNvCxnSpPr/>
      </xdr:nvCxnSpPr>
      <xdr:spPr>
        <a:xfrm flipH="1">
          <a:off x="7040880" y="4845685"/>
          <a:ext cx="762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5446</xdr:colOff>
      <xdr:row>31</xdr:row>
      <xdr:rowOff>0</xdr:rowOff>
    </xdr:to>
    <xdr:cxnSp>
      <xdr:nvCxnSpPr>
        <xdr:cNvPr id="2829" name="line"/>
        <xdr:cNvCxnSpPr/>
      </xdr:nvCxnSpPr>
      <xdr:spPr>
        <a:xfrm flipH="1">
          <a:off x="0" y="7038340"/>
          <a:ext cx="508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830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831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31</xdr:row>
      <xdr:rowOff>0</xdr:rowOff>
    </xdr:from>
    <xdr:to>
      <xdr:col>1</xdr:col>
      <xdr:colOff>617865</xdr:colOff>
      <xdr:row>31</xdr:row>
      <xdr:rowOff>0</xdr:rowOff>
    </xdr:to>
    <xdr:cxnSp>
      <xdr:nvCxnSpPr>
        <xdr:cNvPr id="2832" name="line"/>
        <xdr:cNvCxnSpPr/>
      </xdr:nvCxnSpPr>
      <xdr:spPr>
        <a:xfrm>
          <a:off x="125793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2833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617865</xdr:colOff>
      <xdr:row>32</xdr:row>
      <xdr:rowOff>0</xdr:rowOff>
    </xdr:from>
    <xdr:to>
      <xdr:col>1</xdr:col>
      <xdr:colOff>617865</xdr:colOff>
      <xdr:row>32</xdr:row>
      <xdr:rowOff>0</xdr:rowOff>
    </xdr:to>
    <xdr:cxnSp>
      <xdr:nvCxnSpPr>
        <xdr:cNvPr id="2834" name="line"/>
        <xdr:cNvCxnSpPr/>
      </xdr:nvCxnSpPr>
      <xdr:spPr>
        <a:xfrm>
          <a:off x="125793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28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892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893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894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895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896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2897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2898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899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00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01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902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903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04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05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06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07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08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09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10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11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12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13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14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2915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916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2917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18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19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0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1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2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3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4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5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6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7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8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29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30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31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32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2933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2934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935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936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937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2938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2939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2940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941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2942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943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2944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45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46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47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48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49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0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1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2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3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4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5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6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7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8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59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0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1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2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3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4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5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6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7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8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69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0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1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2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3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4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5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6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7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8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79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0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1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2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3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4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5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6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7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8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89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0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1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2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3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4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5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2996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2997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2998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2999" name="Line 5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3000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3001" name="Line 10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3002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3003" name="Line 15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04" name="Line 19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05" name="Line 20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06" name="Line 21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007" name="Line 22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008" name="Line 23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09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10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11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12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13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14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15" name="Line 30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16" name="Line 31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17" name="Line 32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18" name="Line 33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19" name="Line 34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020" name="Line 35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021" name="Line 36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022" name="Line 37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3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4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5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6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7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8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29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0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1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2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3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4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5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6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7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8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039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04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04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042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04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3044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3045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046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04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3048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3049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05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05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052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05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3054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3055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0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1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13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114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115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116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117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118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119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20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21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22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123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124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25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26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27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28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29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30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31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32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33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34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35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136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137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138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39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0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1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2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3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4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5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6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7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8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49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50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51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52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53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154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3155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156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157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158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159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160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161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162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163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164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165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66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67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68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69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0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1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2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3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4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5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6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7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8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79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0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1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2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3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4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5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6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7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8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89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0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1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2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3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4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5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6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7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8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199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0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1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2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3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4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5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6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7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8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09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0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1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2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3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4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5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6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217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21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21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22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22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322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322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22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22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322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322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22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22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23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23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3232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323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2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29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29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29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29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29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29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29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29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29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30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0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1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2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3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4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5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5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35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53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354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355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356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357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358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359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60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61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62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363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364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65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66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67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68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69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70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71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72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73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74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75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376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377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378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79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0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1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2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3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4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5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6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7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8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89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90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91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92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93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394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3395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396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397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398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399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400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401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402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03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04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05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06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07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08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09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10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11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12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13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14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15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16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17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18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19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20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21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2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3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4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5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6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7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8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29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0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1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2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3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4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5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6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7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8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8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599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600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601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602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603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604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05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06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07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608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609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10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11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12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13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14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15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16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17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18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19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20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621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622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623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24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25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26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27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28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29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0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1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2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3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4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5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6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7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8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639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3640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64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64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64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64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64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64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64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64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64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65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5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6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7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8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69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70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70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70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03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3704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3705" name="Line 5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3706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3707" name="Line 10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3708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3709" name="Line 15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10" name="Line 19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11" name="Line 20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12" name="Line 21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713" name="Line 22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714" name="Line 23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15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16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17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18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19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20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21" name="Line 30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22" name="Line 31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23" name="Line 32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24" name="Line 33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25" name="Line 34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3726" name="Line 35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727" name="Line 36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3728" name="Line 37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29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0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1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2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3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4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5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6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7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8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39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40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41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42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43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44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3745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74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3747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74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74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5446</xdr:colOff>
      <xdr:row>31</xdr:row>
      <xdr:rowOff>0</xdr:rowOff>
    </xdr:from>
    <xdr:to>
      <xdr:col>5</xdr:col>
      <xdr:colOff>5446</xdr:colOff>
      <xdr:row>31</xdr:row>
      <xdr:rowOff>0</xdr:rowOff>
    </xdr:to>
    <xdr:cxnSp>
      <xdr:nvCxnSpPr>
        <xdr:cNvPr id="3750" name="line"/>
        <xdr:cNvCxnSpPr/>
      </xdr:nvCxnSpPr>
      <xdr:spPr>
        <a:xfrm>
          <a:off x="320548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5446</xdr:colOff>
      <xdr:row>22</xdr:row>
      <xdr:rowOff>0</xdr:rowOff>
    </xdr:to>
    <xdr:cxnSp>
      <xdr:nvCxnSpPr>
        <xdr:cNvPr id="3751" name="line"/>
        <xdr:cNvCxnSpPr/>
      </xdr:nvCxnSpPr>
      <xdr:spPr>
        <a:xfrm flipH="1">
          <a:off x="7040880" y="4845685"/>
          <a:ext cx="508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752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75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5446</xdr:colOff>
      <xdr:row>31</xdr:row>
      <xdr:rowOff>0</xdr:rowOff>
    </xdr:from>
    <xdr:to>
      <xdr:col>5</xdr:col>
      <xdr:colOff>5446</xdr:colOff>
      <xdr:row>31</xdr:row>
      <xdr:rowOff>0</xdr:rowOff>
    </xdr:to>
    <xdr:cxnSp>
      <xdr:nvCxnSpPr>
        <xdr:cNvPr id="3754" name="line"/>
        <xdr:cNvCxnSpPr/>
      </xdr:nvCxnSpPr>
      <xdr:spPr>
        <a:xfrm>
          <a:off x="320548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5446</xdr:colOff>
      <xdr:row>22</xdr:row>
      <xdr:rowOff>0</xdr:rowOff>
    </xdr:to>
    <xdr:cxnSp>
      <xdr:nvCxnSpPr>
        <xdr:cNvPr id="3755" name="line"/>
        <xdr:cNvCxnSpPr/>
      </xdr:nvCxnSpPr>
      <xdr:spPr>
        <a:xfrm flipH="1">
          <a:off x="7040880" y="4845685"/>
          <a:ext cx="508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756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3757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3758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3759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32</xdr:row>
      <xdr:rowOff>0</xdr:rowOff>
    </xdr:from>
    <xdr:to>
      <xdr:col>1</xdr:col>
      <xdr:colOff>615444</xdr:colOff>
      <xdr:row>32</xdr:row>
      <xdr:rowOff>0</xdr:rowOff>
    </xdr:to>
    <xdr:cxnSp>
      <xdr:nvCxnSpPr>
        <xdr:cNvPr id="3760" name="line"/>
        <xdr:cNvCxnSpPr/>
      </xdr:nvCxnSpPr>
      <xdr:spPr>
        <a:xfrm>
          <a:off x="125539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32</xdr:row>
      <xdr:rowOff>0</xdr:rowOff>
    </xdr:from>
    <xdr:to>
      <xdr:col>1</xdr:col>
      <xdr:colOff>615444</xdr:colOff>
      <xdr:row>32</xdr:row>
      <xdr:rowOff>0</xdr:rowOff>
    </xdr:to>
    <xdr:cxnSp>
      <xdr:nvCxnSpPr>
        <xdr:cNvPr id="3761" name="line"/>
        <xdr:cNvCxnSpPr/>
      </xdr:nvCxnSpPr>
      <xdr:spPr>
        <a:xfrm>
          <a:off x="125539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7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8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39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440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441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442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443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444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445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46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47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48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49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50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51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52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53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54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55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56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57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58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59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60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61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462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63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464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65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66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67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68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69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0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1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2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3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4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5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6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7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8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79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80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481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48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48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48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48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348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348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48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348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3490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3491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3492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49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494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349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3496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3497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4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4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35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55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556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557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558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559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560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561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62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63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64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565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566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67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68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69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70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71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72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73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74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75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76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77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578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579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580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1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2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3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4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5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6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7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8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89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0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1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2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3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4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5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596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3597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819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820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821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822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823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824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825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826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827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828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29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0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1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2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3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4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5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6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7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8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39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0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1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2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3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4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5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6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7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8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49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0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1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2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3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4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5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6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7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8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59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0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1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2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3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4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5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6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7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8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69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0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1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2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3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4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5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6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7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8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79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880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81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882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883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884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885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3886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3887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888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889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890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891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892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93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94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95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96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97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898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899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900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901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902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903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3904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905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3906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07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08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09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0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1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2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3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4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5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6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7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8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19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20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21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22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3923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24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925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926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927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928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3929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3930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31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32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33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934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935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36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37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38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39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40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41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42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43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44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45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46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3947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948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3949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0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1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2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3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4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5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6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7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8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59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60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61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62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63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64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3965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3966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967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968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969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3970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3971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3972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973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3974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975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3976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77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78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79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0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1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2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3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4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5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6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7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8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89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0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1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2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3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4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5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6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7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8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3999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0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1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2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3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4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5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6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7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8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09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0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1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2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3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4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5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6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7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8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19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0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1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2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3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4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5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6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7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028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02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03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031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03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033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034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035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03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037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038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039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04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04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042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04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044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0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10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10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10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10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10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10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10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10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110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111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112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11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114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11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116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117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1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7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17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17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17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17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18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18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8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8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8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18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18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8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8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8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9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9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19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9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9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9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9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9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19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19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20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0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21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4218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4219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4220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4221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4222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4223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4224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4225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4226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4227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28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29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0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1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2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3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4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5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6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7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8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39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0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1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2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3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4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5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6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7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8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49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0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1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2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3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4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5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6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7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8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59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0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1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2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3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4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5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6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7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8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69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0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1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2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3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4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5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6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7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8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279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80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281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282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283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284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285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286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287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288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289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290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291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92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93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94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95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96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297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298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299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300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301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302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303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304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305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06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07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08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09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0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1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2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3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4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5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6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7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8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19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20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321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4322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23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324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325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326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327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328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329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30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31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32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333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334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35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36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37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38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39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40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41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42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43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44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45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346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347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348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49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0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1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2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3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4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5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6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7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8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59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60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61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62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63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64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365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36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367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36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36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370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371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372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37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374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375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376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377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378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37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380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381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3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4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39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440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441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442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443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444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445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46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47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48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449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450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51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52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53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54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55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56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57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58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59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60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61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462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463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464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65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66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67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68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69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0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1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2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3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4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5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6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7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8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79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480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4481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4482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4483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4484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4485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4486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4487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4488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4489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4490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4491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2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3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4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5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6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7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8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499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0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1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2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3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4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5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6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7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8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09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0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1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2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3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4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5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6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7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8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19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0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1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2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3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4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5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6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7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8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29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0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1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2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3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4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5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6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7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8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39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40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41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42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543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44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545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546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547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548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549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550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51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52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53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554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555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56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57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58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59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60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61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62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63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64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65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66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67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568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569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0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1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2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3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4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5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6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7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8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79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0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1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2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3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4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5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4586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87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588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589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590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591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592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593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94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95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596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597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598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599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00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01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02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03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04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605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606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607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608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609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610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611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612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3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4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5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6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7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8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19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0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1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2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3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4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5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6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7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628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4629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30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631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632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633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634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635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636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37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38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39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640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641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42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43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44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45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46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47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48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49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50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51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52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653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654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655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56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57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58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59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0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1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2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3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4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5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6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7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8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69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70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71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672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673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674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675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67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677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678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679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680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681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682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683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684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68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686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687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688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6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7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46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747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748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749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750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751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752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53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54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55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756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757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58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59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60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61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62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63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64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65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66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67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68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769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770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771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2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3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4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5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6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7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8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79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0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1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2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3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4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5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6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787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4788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4789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4790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4791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4792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4793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4794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4795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4796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4797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4798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799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0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1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2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3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4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5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6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7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8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09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0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1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2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3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4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5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6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7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8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19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0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1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2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3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4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5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6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7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8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29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0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1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2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3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4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5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6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7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8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39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0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1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2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3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4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5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6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7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8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49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4850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51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852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853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854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855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4856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4857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58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59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60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861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862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63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64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65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66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67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68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69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70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71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72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73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4874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875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4876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77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78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79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0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1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2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3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4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5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6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7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8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89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90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91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92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4893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894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89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896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897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898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899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90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490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490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490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490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90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906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4907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908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4909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49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67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968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969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970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971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4972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4973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74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75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76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977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978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79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80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81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82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83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84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85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86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87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88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89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4990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991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4992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3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4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5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6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7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8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4999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0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1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2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3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4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5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6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7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08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5009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010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011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012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013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014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015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016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017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018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019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0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1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2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3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4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5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6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7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8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29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0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1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2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3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4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5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6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7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8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39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0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1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2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3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4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5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6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7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8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49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0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1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2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3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4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5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6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7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8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59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0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1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2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3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4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5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6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7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8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69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70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071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72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073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074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075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076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077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078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79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80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81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082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083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84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85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86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87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88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89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90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91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92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93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94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095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096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097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98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099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0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1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2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3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4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5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6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7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8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09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10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11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12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13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110066</xdr:colOff>
      <xdr:row>49</xdr:row>
      <xdr:rowOff>135467</xdr:rowOff>
    </xdr:from>
    <xdr:to>
      <xdr:col>11</xdr:col>
      <xdr:colOff>110066</xdr:colOff>
      <xdr:row>54</xdr:row>
      <xdr:rowOff>165947</xdr:rowOff>
    </xdr:to>
    <xdr:sp>
      <xdr:nvSpPr>
        <xdr:cNvPr id="5114" name="Line 54"/>
        <xdr:cNvSpPr>
          <a:spLocks noChangeShapeType="1"/>
        </xdr:cNvSpPr>
      </xdr:nvSpPr>
      <xdr:spPr>
        <a:xfrm>
          <a:off x="7150735" y="11318240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15" name="Line 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5116" name="Line 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5117" name="Line 5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5118" name="Line 8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5119" name="Line 10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8890</xdr:colOff>
      <xdr:row>12</xdr:row>
      <xdr:rowOff>0</xdr:rowOff>
    </xdr:from>
    <xdr:to>
      <xdr:col>5</xdr:col>
      <xdr:colOff>8890</xdr:colOff>
      <xdr:row>12</xdr:row>
      <xdr:rowOff>0</xdr:rowOff>
    </xdr:to>
    <xdr:sp>
      <xdr:nvSpPr>
        <xdr:cNvPr id="5120" name="Line 13"/>
        <xdr:cNvSpPr/>
      </xdr:nvSpPr>
      <xdr:spPr>
        <a:xfrm>
          <a:off x="3209290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9525</xdr:rowOff>
    </xdr:to>
    <xdr:sp>
      <xdr:nvSpPr>
        <xdr:cNvPr id="5121" name="Line 15"/>
        <xdr:cNvSpPr/>
      </xdr:nvSpPr>
      <xdr:spPr>
        <a:xfrm flipH="1">
          <a:off x="0" y="2675255"/>
          <a:ext cx="8255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22" name="Line 19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23" name="Line 20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24" name="Line 21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5125" name="Line 22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5126" name="Line 23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27" name="Line 2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28" name="Line 2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29" name="Line 2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30" name="Line 2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31" name="Line 2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32" name="Line 2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33" name="Line 30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34" name="Line 31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35" name="Line 32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36" name="Line 33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37" name="Line 34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12</xdr:row>
      <xdr:rowOff>0</xdr:rowOff>
    </xdr:from>
    <xdr:to>
      <xdr:col>2</xdr:col>
      <xdr:colOff>0</xdr:colOff>
      <xdr:row>12</xdr:row>
      <xdr:rowOff>9525</xdr:rowOff>
    </xdr:to>
    <xdr:sp>
      <xdr:nvSpPr>
        <xdr:cNvPr id="5138" name="Line 35"/>
        <xdr:cNvSpPr/>
      </xdr:nvSpPr>
      <xdr:spPr>
        <a:xfrm>
          <a:off x="1129030" y="2675255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5139" name="Line 36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488950</xdr:colOff>
      <xdr:row>13</xdr:row>
      <xdr:rowOff>0</xdr:rowOff>
    </xdr:from>
    <xdr:to>
      <xdr:col>2</xdr:col>
      <xdr:colOff>0</xdr:colOff>
      <xdr:row>13</xdr:row>
      <xdr:rowOff>9525</xdr:rowOff>
    </xdr:to>
    <xdr:sp>
      <xdr:nvSpPr>
        <xdr:cNvPr id="5140" name="Line 37"/>
        <xdr:cNvSpPr/>
      </xdr:nvSpPr>
      <xdr:spPr>
        <a:xfrm>
          <a:off x="1129030" y="2856230"/>
          <a:ext cx="151130" cy="952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1" name="Line 3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2" name="Line 3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3" name="Line 4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4" name="Line 4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5" name="Line 4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6" name="Line 4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7" name="Line 4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8" name="Line 45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49" name="Line 46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0" name="Line 47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1" name="Line 48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2" name="Line 49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3" name="Line 50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4" name="Line 51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5" name="Line 52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6" name="Line 53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28575</xdr:rowOff>
    </xdr:to>
    <xdr:sp>
      <xdr:nvSpPr>
        <xdr:cNvPr id="5157" name="Line 54"/>
        <xdr:cNvSpPr/>
      </xdr:nvSpPr>
      <xdr:spPr>
        <a:xfrm>
          <a:off x="7040880" y="2675255"/>
          <a:ext cx="0" cy="126936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58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159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160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161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162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163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164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65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66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67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168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169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70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71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72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73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74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75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76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77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78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79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80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181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182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183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84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85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86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87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88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89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0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1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2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3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4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5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6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7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8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199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200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201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202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203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204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205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206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207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208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209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0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1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2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3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4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5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6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7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8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19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0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1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2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3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4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5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6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7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8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29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0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1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2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3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4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5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6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7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8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39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0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1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2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3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4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5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6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7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8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49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0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1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2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3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4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5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6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7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8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59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60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261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26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26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26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26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26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26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26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26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270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271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272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273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274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275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276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277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2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3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33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33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33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33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34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34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4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4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4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34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34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4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4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4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5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5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5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5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5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5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5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5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35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35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36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6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37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37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37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38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38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38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38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38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38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38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38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38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38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39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39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392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39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3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4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5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45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45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45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45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45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45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5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5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6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46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46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6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6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6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6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6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6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6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7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7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7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7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47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47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47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7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7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7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8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9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9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49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49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49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49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49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49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49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49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50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50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50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0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1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2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3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4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5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5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5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5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55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55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556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557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558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559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560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561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62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63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64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565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566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67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68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69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70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71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72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73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74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75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76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77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578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579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580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1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2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3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4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5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6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7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8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89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0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1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2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3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4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5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596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597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598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599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600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601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602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603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604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605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606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07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08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09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0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1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2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3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4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5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6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7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8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19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0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1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2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3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4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5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6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7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8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29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0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1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2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3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4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5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6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7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8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39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0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1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2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3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4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5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6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7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8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49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0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1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2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3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4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5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6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7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658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659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66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661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662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663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664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665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666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667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668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669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67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67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672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67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674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6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7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32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733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734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735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736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737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738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39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40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41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42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43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44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45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46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47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48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49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50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51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52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53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54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55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56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57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58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59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0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1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2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3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4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5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6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7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8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69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70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71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72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73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74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7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77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77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77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77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78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78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8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8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8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8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8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8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8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8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9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9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79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9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9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9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9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9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579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79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580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0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81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81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81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82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82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82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82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82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582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582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582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582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82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83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583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832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583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58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89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89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89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89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89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589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589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89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89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0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90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90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0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0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0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0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0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0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0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1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1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1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1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591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91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591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1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1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1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2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3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3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593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93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93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93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593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593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593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93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594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94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594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4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5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6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7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8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9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9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9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9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599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599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99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99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599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599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00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00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0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0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0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00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00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0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0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0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1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1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1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1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1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1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1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1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01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01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02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2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03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03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03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04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04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604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604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04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04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604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604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04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04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05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05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6052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605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0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1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1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11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11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11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11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11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11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1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1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2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12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12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2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2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2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2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2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2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2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3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3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3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3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13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13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13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3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3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3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4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5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5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15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15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15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15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15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15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15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15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16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16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16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6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7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8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19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0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1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1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1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1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21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1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21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21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21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21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22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22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2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2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2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22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22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2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2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2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3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3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3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3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3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3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3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3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23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23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24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4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25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25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6259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26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26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5446</xdr:colOff>
      <xdr:row>31</xdr:row>
      <xdr:rowOff>0</xdr:rowOff>
    </xdr:from>
    <xdr:to>
      <xdr:col>5</xdr:col>
      <xdr:colOff>5446</xdr:colOff>
      <xdr:row>31</xdr:row>
      <xdr:rowOff>0</xdr:rowOff>
    </xdr:to>
    <xdr:cxnSp>
      <xdr:nvCxnSpPr>
        <xdr:cNvPr id="6262" name="line"/>
        <xdr:cNvCxnSpPr/>
      </xdr:nvCxnSpPr>
      <xdr:spPr>
        <a:xfrm>
          <a:off x="320548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5446</xdr:colOff>
      <xdr:row>22</xdr:row>
      <xdr:rowOff>0</xdr:rowOff>
    </xdr:to>
    <xdr:cxnSp>
      <xdr:nvCxnSpPr>
        <xdr:cNvPr id="6263" name="line"/>
        <xdr:cNvCxnSpPr/>
      </xdr:nvCxnSpPr>
      <xdr:spPr>
        <a:xfrm flipH="1">
          <a:off x="7040880" y="4845685"/>
          <a:ext cx="508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26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26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5446</xdr:colOff>
      <xdr:row>31</xdr:row>
      <xdr:rowOff>0</xdr:rowOff>
    </xdr:from>
    <xdr:to>
      <xdr:col>5</xdr:col>
      <xdr:colOff>5446</xdr:colOff>
      <xdr:row>31</xdr:row>
      <xdr:rowOff>0</xdr:rowOff>
    </xdr:to>
    <xdr:cxnSp>
      <xdr:nvCxnSpPr>
        <xdr:cNvPr id="6266" name="line"/>
        <xdr:cNvCxnSpPr/>
      </xdr:nvCxnSpPr>
      <xdr:spPr>
        <a:xfrm>
          <a:off x="320548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5446</xdr:colOff>
      <xdr:row>22</xdr:row>
      <xdr:rowOff>0</xdr:rowOff>
    </xdr:to>
    <xdr:cxnSp>
      <xdr:nvCxnSpPr>
        <xdr:cNvPr id="6267" name="line"/>
        <xdr:cNvCxnSpPr/>
      </xdr:nvCxnSpPr>
      <xdr:spPr>
        <a:xfrm flipH="1">
          <a:off x="7040880" y="4845685"/>
          <a:ext cx="5080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26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6269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6270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31</xdr:row>
      <xdr:rowOff>0</xdr:rowOff>
    </xdr:from>
    <xdr:to>
      <xdr:col>1</xdr:col>
      <xdr:colOff>615444</xdr:colOff>
      <xdr:row>31</xdr:row>
      <xdr:rowOff>0</xdr:rowOff>
    </xdr:to>
    <xdr:cxnSp>
      <xdr:nvCxnSpPr>
        <xdr:cNvPr id="6271" name="line"/>
        <xdr:cNvCxnSpPr/>
      </xdr:nvCxnSpPr>
      <xdr:spPr>
        <a:xfrm>
          <a:off x="125539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32</xdr:row>
      <xdr:rowOff>0</xdr:rowOff>
    </xdr:from>
    <xdr:to>
      <xdr:col>1</xdr:col>
      <xdr:colOff>615444</xdr:colOff>
      <xdr:row>32</xdr:row>
      <xdr:rowOff>0</xdr:rowOff>
    </xdr:to>
    <xdr:cxnSp>
      <xdr:nvCxnSpPr>
        <xdr:cNvPr id="6272" name="line"/>
        <xdr:cNvCxnSpPr/>
      </xdr:nvCxnSpPr>
      <xdr:spPr>
        <a:xfrm>
          <a:off x="125539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615444</xdr:colOff>
      <xdr:row>32</xdr:row>
      <xdr:rowOff>0</xdr:rowOff>
    </xdr:from>
    <xdr:to>
      <xdr:col>1</xdr:col>
      <xdr:colOff>615444</xdr:colOff>
      <xdr:row>32</xdr:row>
      <xdr:rowOff>0</xdr:rowOff>
    </xdr:to>
    <xdr:cxnSp>
      <xdr:nvCxnSpPr>
        <xdr:cNvPr id="6273" name="line"/>
        <xdr:cNvCxnSpPr/>
      </xdr:nvCxnSpPr>
      <xdr:spPr>
        <a:xfrm>
          <a:off x="1255395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2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3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3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33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33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33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33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33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33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3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3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4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34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34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4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4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4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4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4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4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4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5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5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5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5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35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35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35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5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5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5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6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7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7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37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37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37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37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37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37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37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37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38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38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38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8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39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0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1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2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3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3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3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3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43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3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43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43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43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43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44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44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4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4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4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44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44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4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4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4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5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5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5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5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5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5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5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5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45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45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46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6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47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47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647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48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48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6482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6483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48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48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6486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6487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48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648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6490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6491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6492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6493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4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4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4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4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4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4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5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551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552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553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554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555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556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557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558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559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560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1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2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3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4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5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6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7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8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69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0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1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2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3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4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5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6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7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8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79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0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1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2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3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4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5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6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7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8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89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0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1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2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3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4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5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6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7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8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599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0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1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2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3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4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5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6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7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8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09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10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11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612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13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614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615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616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617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618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619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20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21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22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623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624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25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26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27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28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29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30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31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32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33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34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35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636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637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638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39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0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1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2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3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4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5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6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7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8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49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50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51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52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53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654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5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65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65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65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65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66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66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6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6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6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66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66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6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6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6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7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7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7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7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7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7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7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7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67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67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68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8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69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69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69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70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70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670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670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70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70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670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670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70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70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71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71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6712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671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7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7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77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77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77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77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77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77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7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7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8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78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78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8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8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8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8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8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8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8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9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9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9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9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79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79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679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9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9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79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0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1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1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81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81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81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81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681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681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681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81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682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82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682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2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3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4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5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6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7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7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7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7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687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7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87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87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87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87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688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688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8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8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8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88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88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8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8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8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9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9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89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9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9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9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9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9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689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89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690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0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691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91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91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92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92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6922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6923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92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692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6051</xdr:colOff>
      <xdr:row>31</xdr:row>
      <xdr:rowOff>0</xdr:rowOff>
    </xdr:from>
    <xdr:to>
      <xdr:col>5</xdr:col>
      <xdr:colOff>6051</xdr:colOff>
      <xdr:row>31</xdr:row>
      <xdr:rowOff>0</xdr:rowOff>
    </xdr:to>
    <xdr:cxnSp>
      <xdr:nvCxnSpPr>
        <xdr:cNvPr id="6926" name="line"/>
        <xdr:cNvCxnSpPr/>
      </xdr:nvCxnSpPr>
      <xdr:spPr>
        <a:xfrm>
          <a:off x="320611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6051</xdr:colOff>
      <xdr:row>22</xdr:row>
      <xdr:rowOff>0</xdr:rowOff>
    </xdr:to>
    <xdr:cxnSp>
      <xdr:nvCxnSpPr>
        <xdr:cNvPr id="6927" name="line"/>
        <xdr:cNvCxnSpPr/>
      </xdr:nvCxnSpPr>
      <xdr:spPr>
        <a:xfrm flipH="1">
          <a:off x="7040880" y="4845685"/>
          <a:ext cx="571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692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929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930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31</xdr:row>
      <xdr:rowOff>0</xdr:rowOff>
    </xdr:from>
    <xdr:to>
      <xdr:col>1</xdr:col>
      <xdr:colOff>616050</xdr:colOff>
      <xdr:row>31</xdr:row>
      <xdr:rowOff>0</xdr:rowOff>
    </xdr:to>
    <xdr:cxnSp>
      <xdr:nvCxnSpPr>
        <xdr:cNvPr id="6931" name="line"/>
        <xdr:cNvCxnSpPr/>
      </xdr:nvCxnSpPr>
      <xdr:spPr>
        <a:xfrm>
          <a:off x="125603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6932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616050</xdr:colOff>
      <xdr:row>32</xdr:row>
      <xdr:rowOff>0</xdr:rowOff>
    </xdr:from>
    <xdr:to>
      <xdr:col>1</xdr:col>
      <xdr:colOff>616050</xdr:colOff>
      <xdr:row>32</xdr:row>
      <xdr:rowOff>0</xdr:rowOff>
    </xdr:to>
    <xdr:cxnSp>
      <xdr:nvCxnSpPr>
        <xdr:cNvPr id="6933" name="line"/>
        <xdr:cNvCxnSpPr/>
      </xdr:nvCxnSpPr>
      <xdr:spPr>
        <a:xfrm>
          <a:off x="125603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69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699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99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99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99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99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699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699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99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699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0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00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00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0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0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0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0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0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0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0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1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1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1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1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01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01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01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1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1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1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2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3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3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03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03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03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03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03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03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03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03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04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04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04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4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5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6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7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8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9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9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9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9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09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09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09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09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09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09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10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10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0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0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0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10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10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0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0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0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1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1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1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1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1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1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1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1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11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11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12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2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13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13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13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14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14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7142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7143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14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14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7146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7147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14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14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150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151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7152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7153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5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5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5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5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5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5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6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1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2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1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21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21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21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21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21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21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1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1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2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22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22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2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2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2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2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2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2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2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3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3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3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3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23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23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23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3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3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3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4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5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5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25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25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25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25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25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25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25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25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26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26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26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6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7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8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29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0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1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1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1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1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31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1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31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31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31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31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32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32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2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2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2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32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32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2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2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2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3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3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3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3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3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3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3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3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33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33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34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4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35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35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35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36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36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7362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7363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36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36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7366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7367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36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36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370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371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7372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7373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7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7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7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7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7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7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8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3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4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3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43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43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43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43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43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43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3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3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4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44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44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4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4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4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4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4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4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4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5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5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5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5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45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45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45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5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5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5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6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7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7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47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47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47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47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47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47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47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47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48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48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48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8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49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0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1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2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3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3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3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3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53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35" name="Line 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536" name="Line 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537" name="Line 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538" name="Line 8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539" name="Line 10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8255</xdr:colOff>
      <xdr:row>12</xdr:row>
      <xdr:rowOff>0</xdr:rowOff>
    </xdr:from>
    <xdr:to>
      <xdr:col>5</xdr:col>
      <xdr:colOff>8255</xdr:colOff>
      <xdr:row>12</xdr:row>
      <xdr:rowOff>0</xdr:rowOff>
    </xdr:to>
    <xdr:sp>
      <xdr:nvSpPr>
        <xdr:cNvPr id="7540" name="Line 13"/>
        <xdr:cNvSpPr/>
      </xdr:nvSpPr>
      <xdr:spPr>
        <a:xfrm>
          <a:off x="3208655" y="2675255"/>
          <a:ext cx="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8255</xdr:colOff>
      <xdr:row>12</xdr:row>
      <xdr:rowOff>8255</xdr:rowOff>
    </xdr:to>
    <xdr:sp>
      <xdr:nvSpPr>
        <xdr:cNvPr id="7541" name="Line 15"/>
        <xdr:cNvSpPr/>
      </xdr:nvSpPr>
      <xdr:spPr>
        <a:xfrm flipH="1">
          <a:off x="0" y="2675255"/>
          <a:ext cx="825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42" name="Line 19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43" name="Line 2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44" name="Line 2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545" name="Line 22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546" name="Line 23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47" name="Line 2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48" name="Line 2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49" name="Line 2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50" name="Line 2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51" name="Line 2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52" name="Line 2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53" name="Line 30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54" name="Line 31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55" name="Line 32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56" name="Line 33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57" name="Line 34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12</xdr:row>
      <xdr:rowOff>0</xdr:rowOff>
    </xdr:from>
    <xdr:to>
      <xdr:col>2</xdr:col>
      <xdr:colOff>0</xdr:colOff>
      <xdr:row>12</xdr:row>
      <xdr:rowOff>8255</xdr:rowOff>
    </xdr:to>
    <xdr:sp>
      <xdr:nvSpPr>
        <xdr:cNvPr id="7558" name="Line 35"/>
        <xdr:cNvSpPr/>
      </xdr:nvSpPr>
      <xdr:spPr>
        <a:xfrm>
          <a:off x="1129665" y="2675255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559" name="Line 36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489585</xdr:colOff>
      <xdr:row>13</xdr:row>
      <xdr:rowOff>0</xdr:rowOff>
    </xdr:from>
    <xdr:to>
      <xdr:col>2</xdr:col>
      <xdr:colOff>0</xdr:colOff>
      <xdr:row>13</xdr:row>
      <xdr:rowOff>8255</xdr:rowOff>
    </xdr:to>
    <xdr:sp>
      <xdr:nvSpPr>
        <xdr:cNvPr id="7560" name="Line 37"/>
        <xdr:cNvSpPr/>
      </xdr:nvSpPr>
      <xdr:spPr>
        <a:xfrm>
          <a:off x="1129665" y="2856230"/>
          <a:ext cx="150495" cy="825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1" name="Line 3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2" name="Line 3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3" name="Line 4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4" name="Line 4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5" name="Line 4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6" name="Line 4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7" name="Line 4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8" name="Line 45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69" name="Line 46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0" name="Line 47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1" name="Line 48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2" name="Line 49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3" name="Line 50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4" name="Line 51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5" name="Line 52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6" name="Line 53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17</xdr:row>
      <xdr:rowOff>29845</xdr:rowOff>
    </xdr:to>
    <xdr:sp>
      <xdr:nvSpPr>
        <xdr:cNvPr id="7577" name="Line 54"/>
        <xdr:cNvSpPr/>
      </xdr:nvSpPr>
      <xdr:spPr>
        <a:xfrm>
          <a:off x="7040880" y="2675255"/>
          <a:ext cx="0" cy="12706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bevel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578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57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580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581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7582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7583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584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0</xdr:colOff>
      <xdr:row>31</xdr:row>
      <xdr:rowOff>0</xdr:rowOff>
    </xdr:to>
    <xdr:cxnSp>
      <xdr:nvCxnSpPr>
        <xdr:cNvPr id="7585" name="line"/>
        <xdr:cNvCxnSpPr/>
      </xdr:nvCxnSpPr>
      <xdr:spPr>
        <a:xfrm>
          <a:off x="7040880" y="6814820"/>
          <a:ext cx="0" cy="22352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5</xdr:col>
      <xdr:colOff>4841</xdr:colOff>
      <xdr:row>31</xdr:row>
      <xdr:rowOff>0</xdr:rowOff>
    </xdr:from>
    <xdr:to>
      <xdr:col>5</xdr:col>
      <xdr:colOff>4841</xdr:colOff>
      <xdr:row>31</xdr:row>
      <xdr:rowOff>0</xdr:rowOff>
    </xdr:to>
    <xdr:cxnSp>
      <xdr:nvCxnSpPr>
        <xdr:cNvPr id="7586" name="line"/>
        <xdr:cNvCxnSpPr/>
      </xdr:nvCxnSpPr>
      <xdr:spPr>
        <a:xfrm>
          <a:off x="3204845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4841</xdr:colOff>
      <xdr:row>22</xdr:row>
      <xdr:rowOff>0</xdr:rowOff>
    </xdr:to>
    <xdr:cxnSp>
      <xdr:nvCxnSpPr>
        <xdr:cNvPr id="7587" name="line"/>
        <xdr:cNvCxnSpPr/>
      </xdr:nvCxnSpPr>
      <xdr:spPr>
        <a:xfrm flipH="1">
          <a:off x="7040880" y="4845685"/>
          <a:ext cx="4445" cy="18097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cxnSp>
      <xdr:nvCxnSpPr>
        <xdr:cNvPr id="7588" name="line"/>
        <xdr:cNvCxnSpPr/>
      </xdr:nvCxnSpPr>
      <xdr:spPr>
        <a:xfrm flipH="1">
          <a:off x="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589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590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31</xdr:row>
      <xdr:rowOff>0</xdr:rowOff>
    </xdr:from>
    <xdr:to>
      <xdr:col>1</xdr:col>
      <xdr:colOff>614839</xdr:colOff>
      <xdr:row>31</xdr:row>
      <xdr:rowOff>0</xdr:rowOff>
    </xdr:to>
    <xdr:cxnSp>
      <xdr:nvCxnSpPr>
        <xdr:cNvPr id="7591" name="line"/>
        <xdr:cNvCxnSpPr/>
      </xdr:nvCxnSpPr>
      <xdr:spPr>
        <a:xfrm>
          <a:off x="1254760" y="703834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7592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</xdr:col>
      <xdr:colOff>614839</xdr:colOff>
      <xdr:row>32</xdr:row>
      <xdr:rowOff>0</xdr:rowOff>
    </xdr:from>
    <xdr:to>
      <xdr:col>1</xdr:col>
      <xdr:colOff>614839</xdr:colOff>
      <xdr:row>32</xdr:row>
      <xdr:rowOff>0</xdr:rowOff>
    </xdr:to>
    <xdr:cxnSp>
      <xdr:nvCxnSpPr>
        <xdr:cNvPr id="7593" name="line"/>
        <xdr:cNvCxnSpPr/>
      </xdr:nvCxnSpPr>
      <xdr:spPr>
        <a:xfrm>
          <a:off x="1254760" y="7219315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59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0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1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2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3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1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2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3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4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5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6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7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8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49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0</xdr:colOff>
      <xdr:row>36</xdr:row>
      <xdr:rowOff>0</xdr:rowOff>
    </xdr:to>
    <xdr:cxnSp>
      <xdr:nvCxnSpPr>
        <xdr:cNvPr id="7650" name="line"/>
        <xdr:cNvCxnSpPr/>
      </xdr:nvCxnSpPr>
      <xdr:spPr>
        <a:xfrm>
          <a:off x="7040880" y="7038340"/>
          <a:ext cx="0" cy="124079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51" name="Line 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652" name="Line 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653" name="Line 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654" name="Line 8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655" name="Line 10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7620</xdr:colOff>
      <xdr:row>50</xdr:row>
      <xdr:rowOff>0</xdr:rowOff>
    </xdr:from>
    <xdr:to>
      <xdr:col>5</xdr:col>
      <xdr:colOff>7620</xdr:colOff>
      <xdr:row>50</xdr:row>
      <xdr:rowOff>0</xdr:rowOff>
    </xdr:to>
    <xdr:sp>
      <xdr:nvSpPr>
        <xdr:cNvPr id="7656" name="Line 13"/>
        <xdr:cNvSpPr>
          <a:spLocks noChangeShapeType="1"/>
        </xdr:cNvSpPr>
      </xdr:nvSpPr>
      <xdr:spPr>
        <a:xfrm>
          <a:off x="3208020" y="1140650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0</xdr:col>
      <xdr:colOff>7620</xdr:colOff>
      <xdr:row>50</xdr:row>
      <xdr:rowOff>7620</xdr:rowOff>
    </xdr:to>
    <xdr:sp>
      <xdr:nvSpPr>
        <xdr:cNvPr id="7657" name="Line 15"/>
        <xdr:cNvSpPr>
          <a:spLocks noChangeShapeType="1"/>
        </xdr:cNvSpPr>
      </xdr:nvSpPr>
      <xdr:spPr>
        <a:xfrm flipH="1">
          <a:off x="0" y="11406505"/>
          <a:ext cx="762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58" name="Line 19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59" name="Line 2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60" name="Line 2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661" name="Line 22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662" name="Line 23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63" name="Line 2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64" name="Line 2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65" name="Line 2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66" name="Line 2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67" name="Line 2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68" name="Line 2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69" name="Line 30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70" name="Line 31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71" name="Line 32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72" name="Line 33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73" name="Line 34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50</xdr:row>
      <xdr:rowOff>0</xdr:rowOff>
    </xdr:from>
    <xdr:to>
      <xdr:col>2</xdr:col>
      <xdr:colOff>0</xdr:colOff>
      <xdr:row>50</xdr:row>
      <xdr:rowOff>7620</xdr:rowOff>
    </xdr:to>
    <xdr:sp>
      <xdr:nvSpPr>
        <xdr:cNvPr id="7674" name="Line 35"/>
        <xdr:cNvSpPr>
          <a:spLocks noChangeShapeType="1"/>
        </xdr:cNvSpPr>
      </xdr:nvSpPr>
      <xdr:spPr>
        <a:xfrm>
          <a:off x="1165860" y="11406505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675" name="Line 36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525780</xdr:colOff>
      <xdr:row>51</xdr:row>
      <xdr:rowOff>0</xdr:rowOff>
    </xdr:from>
    <xdr:to>
      <xdr:col>2</xdr:col>
      <xdr:colOff>0</xdr:colOff>
      <xdr:row>51</xdr:row>
      <xdr:rowOff>7620</xdr:rowOff>
    </xdr:to>
    <xdr:sp>
      <xdr:nvSpPr>
        <xdr:cNvPr id="7676" name="Line 37"/>
        <xdr:cNvSpPr>
          <a:spLocks noChangeShapeType="1"/>
        </xdr:cNvSpPr>
      </xdr:nvSpPr>
      <xdr:spPr>
        <a:xfrm>
          <a:off x="1165860" y="11587480"/>
          <a:ext cx="114300" cy="76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77" name="Line 3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78" name="Line 3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79" name="Line 4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0" name="Line 4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1" name="Line 4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2" name="Line 4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3" name="Line 44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4" name="Line 45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5" name="Line 46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6" name="Line 47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7" name="Line 48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8" name="Line 49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89" name="Line 50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90" name="Line 51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91" name="Line 52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0</xdr:colOff>
      <xdr:row>55</xdr:row>
      <xdr:rowOff>30480</xdr:rowOff>
    </xdr:to>
    <xdr:sp>
      <xdr:nvSpPr>
        <xdr:cNvPr id="7692" name="Line 53"/>
        <xdr:cNvSpPr>
          <a:spLocks noChangeShapeType="1"/>
        </xdr:cNvSpPr>
      </xdr:nvSpPr>
      <xdr:spPr>
        <a:xfrm>
          <a:off x="7040880" y="11406505"/>
          <a:ext cx="0" cy="127127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693" name="Line 3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694" name="Line 4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695" name="Line 5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5715</xdr:colOff>
      <xdr:row>69</xdr:row>
      <xdr:rowOff>0</xdr:rowOff>
    </xdr:from>
    <xdr:to>
      <xdr:col>5</xdr:col>
      <xdr:colOff>5715</xdr:colOff>
      <xdr:row>69</xdr:row>
      <xdr:rowOff>0</xdr:rowOff>
    </xdr:to>
    <xdr:sp>
      <xdr:nvSpPr>
        <xdr:cNvPr id="7696" name="Line 8"/>
        <xdr:cNvSpPr/>
      </xdr:nvSpPr>
      <xdr:spPr>
        <a:xfrm>
          <a:off x="3206115" y="1576959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5715</xdr:colOff>
      <xdr:row>60</xdr:row>
      <xdr:rowOff>0</xdr:rowOff>
    </xdr:to>
    <xdr:sp>
      <xdr:nvSpPr>
        <xdr:cNvPr id="7697" name="Line 9"/>
        <xdr:cNvSpPr/>
      </xdr:nvSpPr>
      <xdr:spPr>
        <a:xfrm flipH="1">
          <a:off x="7040880" y="13576935"/>
          <a:ext cx="5715" cy="1809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69</xdr:row>
      <xdr:rowOff>0</xdr:rowOff>
    </xdr:from>
    <xdr:to>
      <xdr:col>0</xdr:col>
      <xdr:colOff>5715</xdr:colOff>
      <xdr:row>69</xdr:row>
      <xdr:rowOff>5715</xdr:rowOff>
    </xdr:to>
    <xdr:sp>
      <xdr:nvSpPr>
        <xdr:cNvPr id="7698" name="Line 10"/>
        <xdr:cNvSpPr/>
      </xdr:nvSpPr>
      <xdr:spPr>
        <a:xfrm flipH="1">
          <a:off x="0" y="15769590"/>
          <a:ext cx="5715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699" name="Line 13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69</xdr:row>
      <xdr:rowOff>0</xdr:rowOff>
    </xdr:from>
    <xdr:to>
      <xdr:col>2</xdr:col>
      <xdr:colOff>0</xdr:colOff>
      <xdr:row>69</xdr:row>
      <xdr:rowOff>5715</xdr:rowOff>
    </xdr:to>
    <xdr:sp>
      <xdr:nvSpPr>
        <xdr:cNvPr id="7700" name="Line 14"/>
        <xdr:cNvSpPr/>
      </xdr:nvSpPr>
      <xdr:spPr>
        <a:xfrm>
          <a:off x="1131570" y="15769590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701" name="Line 15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491490</xdr:colOff>
      <xdr:row>70</xdr:row>
      <xdr:rowOff>0</xdr:rowOff>
    </xdr:from>
    <xdr:to>
      <xdr:col>2</xdr:col>
      <xdr:colOff>0</xdr:colOff>
      <xdr:row>70</xdr:row>
      <xdr:rowOff>5715</xdr:rowOff>
    </xdr:to>
    <xdr:sp>
      <xdr:nvSpPr>
        <xdr:cNvPr id="7702" name="Line 16"/>
        <xdr:cNvSpPr/>
      </xdr:nvSpPr>
      <xdr:spPr>
        <a:xfrm>
          <a:off x="1131570" y="15950565"/>
          <a:ext cx="148590" cy="571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3" name="Line 1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4" name="Line 1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5" name="Line 1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6" name="Line 2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7" name="Line 2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8" name="Line 2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09" name="Line 2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0" name="Line 2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1" name="Line 2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2" name="Line 2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3" name="Line 2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4" name="Line 2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5" name="Line 2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6" name="Line 3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7" name="Line 3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8" name="Line 3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19" name="Line 3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0" name="Line 3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1" name="Line 3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2" name="Line 3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3" name="Line 3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4" name="Line 3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5" name="Line 3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6" name="Line 4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7" name="Line 4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8" name="Line 4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29" name="Line 4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0" name="Line 4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1" name="Line 4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2" name="Line 4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3" name="Line 4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4" name="Line 4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5" name="Line 4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6" name="Line 5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7" name="Line 5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8" name="Line 5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39" name="Line 5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0" name="Line 5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1" name="Line 5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2" name="Line 5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3" name="Line 5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4" name="Line 5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5" name="Line 59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6" name="Line 60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7" name="Line 61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8" name="Line 62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49" name="Line 63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50" name="Line 64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51" name="Line 65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52" name="Line 66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53" name="Line 67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0</xdr:colOff>
      <xdr:row>74</xdr:row>
      <xdr:rowOff>32385</xdr:rowOff>
    </xdr:to>
    <xdr:sp>
      <xdr:nvSpPr>
        <xdr:cNvPr id="7754" name="Line 68"/>
        <xdr:cNvSpPr/>
      </xdr:nvSpPr>
      <xdr:spPr>
        <a:xfrm>
          <a:off x="7040880" y="15769590"/>
          <a:ext cx="0" cy="1273175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inyang/Desktop/2026.5.10&#24658;&#21475;&#31449;&#22674;&#24773;&#30417;&#27979;&#25253;&#34920;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土壤墒情监测上报表1"/>
      <sheetName val="恒口"/>
      <sheetName val="Sheet1"/>
    </sheetNames>
    <sheetDataSet>
      <sheetData sheetId="0"/>
      <sheetData sheetId="1">
        <row r="6">
          <cell r="L6">
            <v>20.2680767472702</v>
          </cell>
          <cell r="M6">
            <v>22.3033075905523</v>
          </cell>
          <cell r="N6">
            <v>21.1758187527051</v>
          </cell>
          <cell r="O6">
            <v>21.2582238148597</v>
          </cell>
          <cell r="P6">
            <v>25.45</v>
          </cell>
          <cell r="Q6">
            <v>83.5293666595666</v>
          </cell>
        </row>
        <row r="13">
          <cell r="B13" t="str">
            <v>蔬菜</v>
          </cell>
        </row>
        <row r="14">
          <cell r="B14" t="str">
            <v>成长期</v>
          </cell>
        </row>
        <row r="14">
          <cell r="I14">
            <v>12.8</v>
          </cell>
        </row>
        <row r="16">
          <cell r="I16">
            <v>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6"/>
  <sheetViews>
    <sheetView tabSelected="1" zoomScale="89" zoomScaleNormal="89" zoomScaleSheetLayoutView="60" workbookViewId="0">
      <selection activeCell="L10" sqref="L10"/>
    </sheetView>
  </sheetViews>
  <sheetFormatPr defaultColWidth="9" defaultRowHeight="17.6"/>
  <cols>
    <col min="1" max="1" width="14.5" customWidth="1"/>
    <col min="2" max="2" width="13.375" customWidth="1"/>
    <col min="3" max="3" width="16.5" customWidth="1"/>
    <col min="4" max="4" width="14.5" customWidth="1"/>
    <col min="5" max="5" width="16" customWidth="1"/>
    <col min="6" max="6" width="13.625" customWidth="1"/>
    <col min="7" max="7" width="11.75" customWidth="1"/>
    <col min="8" max="8" width="8.875" customWidth="1"/>
    <col min="9" max="9" width="10.5" customWidth="1"/>
    <col min="10" max="10" width="9.75" customWidth="1"/>
  </cols>
  <sheetData>
    <row r="3" ht="26" spans="1:10">
      <c r="A3" s="223" t="s">
        <v>0</v>
      </c>
      <c r="B3" s="224"/>
      <c r="C3" s="224"/>
      <c r="D3" s="224"/>
      <c r="E3" s="224"/>
      <c r="F3" s="224"/>
      <c r="G3" s="224"/>
      <c r="H3" s="224"/>
      <c r="I3" s="224"/>
      <c r="J3" s="224"/>
    </row>
    <row r="4" spans="1:10">
      <c r="A4" s="225" t="s">
        <v>1</v>
      </c>
      <c r="B4" s="226"/>
      <c r="C4" s="226"/>
      <c r="D4" s="226"/>
      <c r="E4" s="226"/>
      <c r="F4" s="226"/>
      <c r="G4" s="226"/>
      <c r="H4" s="226"/>
      <c r="I4" s="226"/>
      <c r="J4" s="226"/>
    </row>
    <row r="5" spans="1:10">
      <c r="A5" s="226"/>
      <c r="B5" s="226"/>
      <c r="C5" s="226"/>
      <c r="D5" s="226"/>
      <c r="E5" s="226"/>
      <c r="F5" s="226"/>
      <c r="G5" s="226"/>
      <c r="H5" s="226"/>
      <c r="I5" s="226"/>
      <c r="J5" s="226"/>
    </row>
    <row r="6" spans="1:10">
      <c r="A6" s="227"/>
      <c r="B6" s="227"/>
      <c r="C6" s="227"/>
      <c r="D6" s="227"/>
      <c r="E6" s="227"/>
      <c r="F6" s="227"/>
      <c r="G6" s="227"/>
      <c r="H6" s="227"/>
      <c r="I6" s="227"/>
      <c r="J6" s="227"/>
    </row>
    <row r="7" ht="30" customHeight="1" spans="1:10">
      <c r="A7" s="228" t="s">
        <v>2</v>
      </c>
      <c r="B7" s="228" t="s">
        <v>3</v>
      </c>
      <c r="C7" s="229" t="s">
        <v>4</v>
      </c>
      <c r="D7" s="230"/>
      <c r="E7" s="50"/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</row>
    <row r="8" ht="38.25" customHeight="1" spans="1:10">
      <c r="A8" s="231"/>
      <c r="B8" s="231"/>
      <c r="C8" s="232" t="s">
        <v>10</v>
      </c>
      <c r="D8" s="232" t="s">
        <v>11</v>
      </c>
      <c r="E8" s="232" t="s">
        <v>12</v>
      </c>
      <c r="F8" s="2"/>
      <c r="G8" s="2"/>
      <c r="H8" s="2"/>
      <c r="I8" s="2"/>
      <c r="J8" s="2"/>
    </row>
    <row r="9" ht="24.95" customHeight="1" spans="1:10">
      <c r="A9" s="73" t="s">
        <v>13</v>
      </c>
      <c r="B9" s="73" t="s">
        <v>14</v>
      </c>
      <c r="C9" s="198">
        <f>报勘测处!J5</f>
        <v>24.2</v>
      </c>
      <c r="D9" s="198">
        <f>报勘测处!K5</f>
        <v>26.2</v>
      </c>
      <c r="E9" s="198">
        <f>报勘测处!L5</f>
        <v>21.6</v>
      </c>
      <c r="F9" s="198">
        <f>报勘测处!M5</f>
        <v>24.3</v>
      </c>
      <c r="G9" s="234">
        <f>报勘测处!N5</f>
        <v>30.7</v>
      </c>
      <c r="H9" s="198">
        <f>报勘测处!O5</f>
        <v>79.1530944625407</v>
      </c>
      <c r="I9" s="73" t="s">
        <v>15</v>
      </c>
      <c r="J9" s="73" t="str">
        <f>报勘测处!W5</f>
        <v>成长期</v>
      </c>
    </row>
    <row r="10" ht="24.95" customHeight="1" spans="1:10">
      <c r="A10" s="73" t="s">
        <v>16</v>
      </c>
      <c r="B10" s="73" t="s">
        <v>17</v>
      </c>
      <c r="C10" s="198">
        <f>报勘测处!J6</f>
        <v>20.2</v>
      </c>
      <c r="D10" s="198">
        <f>报勘测处!K6</f>
        <v>22.9</v>
      </c>
      <c r="E10" s="198">
        <f>报勘测处!L6</f>
        <v>24.5</v>
      </c>
      <c r="F10" s="198">
        <f>报勘测处!M6</f>
        <v>22.2875</v>
      </c>
      <c r="G10" s="234">
        <f>报勘测处!N6</f>
        <v>28.08</v>
      </c>
      <c r="H10" s="198">
        <f>报勘测处!O6</f>
        <v>79.3714387464387</v>
      </c>
      <c r="I10" s="73" t="str">
        <f>报勘测处!V6</f>
        <v>白地</v>
      </c>
      <c r="J10" s="73" t="str">
        <f>报勘测处!W6</f>
        <v>无</v>
      </c>
    </row>
    <row r="11" ht="24.95" customHeight="1" spans="1:10">
      <c r="A11" s="73" t="s">
        <v>18</v>
      </c>
      <c r="B11" s="73" t="s">
        <v>19</v>
      </c>
      <c r="C11" s="198">
        <f>报勘测处!J7</f>
        <v>26.8</v>
      </c>
      <c r="D11" s="198">
        <f>报勘测处!K7</f>
        <v>22.6</v>
      </c>
      <c r="E11" s="198">
        <f>报勘测处!L7</f>
        <v>21.3</v>
      </c>
      <c r="F11" s="198">
        <f>报勘测处!M7</f>
        <v>23.85</v>
      </c>
      <c r="G11" s="234">
        <f>报勘测处!N7</f>
        <v>27</v>
      </c>
      <c r="H11" s="198">
        <f>报勘测处!O7</f>
        <v>88.3333333333333</v>
      </c>
      <c r="I11" s="234" t="str">
        <f>报勘测处!V7</f>
        <v>蔬菜</v>
      </c>
      <c r="J11" s="73" t="str">
        <f>报勘测处!W7</f>
        <v>生长期</v>
      </c>
    </row>
    <row r="12" ht="24.95" customHeight="1" spans="1:10">
      <c r="A12" s="73" t="s">
        <v>20</v>
      </c>
      <c r="B12" s="73" t="s">
        <v>21</v>
      </c>
      <c r="C12" s="198">
        <f>报勘测处!J8</f>
        <v>20.3</v>
      </c>
      <c r="D12" s="198">
        <f>报勘测处!K8</f>
        <v>22.3</v>
      </c>
      <c r="E12" s="198">
        <f>报勘测处!L8</f>
        <v>21.2</v>
      </c>
      <c r="F12" s="198">
        <f>报勘测处!M8</f>
        <v>21.275</v>
      </c>
      <c r="G12" s="234">
        <f>报勘测处!N8</f>
        <v>25.45</v>
      </c>
      <c r="H12" s="198">
        <f>报勘测处!O8</f>
        <v>83.5952848722986</v>
      </c>
      <c r="I12" s="73" t="s">
        <v>15</v>
      </c>
      <c r="J12" s="73" t="str">
        <f>报勘测处!W8</f>
        <v>成长期</v>
      </c>
    </row>
    <row r="13" ht="45.75" customHeight="1" spans="1:10">
      <c r="A13" s="74" t="s">
        <v>22</v>
      </c>
      <c r="B13" s="110"/>
      <c r="C13" s="74"/>
      <c r="D13" s="75"/>
      <c r="E13" s="75"/>
      <c r="F13" s="75"/>
      <c r="G13" s="75"/>
      <c r="H13" s="75"/>
      <c r="I13" s="75"/>
      <c r="J13" s="110"/>
    </row>
    <row r="14" spans="1:10">
      <c r="A14" s="233" t="str">
        <f>报勘测处!A10</f>
        <v>一校：张岚  2026年5月11日    二校： 吴丹 2026年5月11日       审查：白龙军 2026年5月11日 </v>
      </c>
      <c r="B14" s="233"/>
      <c r="C14" s="233"/>
      <c r="D14" s="233"/>
      <c r="E14" s="233"/>
      <c r="F14" s="233"/>
      <c r="G14" s="233"/>
      <c r="H14" s="233"/>
      <c r="I14" s="233"/>
      <c r="J14" s="233"/>
    </row>
    <row r="15" spans="1:10">
      <c r="A15" s="224"/>
      <c r="B15" s="224"/>
      <c r="C15" s="224"/>
      <c r="D15" s="224"/>
      <c r="E15" s="224"/>
      <c r="F15" s="224"/>
      <c r="G15" s="224"/>
      <c r="H15" s="224"/>
      <c r="I15" s="224"/>
      <c r="J15" s="224"/>
    </row>
    <row r="16" spans="1:10">
      <c r="A16" s="224"/>
      <c r="B16" s="224"/>
      <c r="C16" s="224"/>
      <c r="D16" s="224"/>
      <c r="E16" s="224"/>
      <c r="F16" s="224"/>
      <c r="G16" s="224"/>
      <c r="H16" s="224"/>
      <c r="I16" s="224"/>
      <c r="J16" s="224"/>
    </row>
  </sheetData>
  <mergeCells count="13">
    <mergeCell ref="A3:J3"/>
    <mergeCell ref="C7:E7"/>
    <mergeCell ref="A13:B13"/>
    <mergeCell ref="C13:J13"/>
    <mergeCell ref="A7:A8"/>
    <mergeCell ref="B7:B8"/>
    <mergeCell ref="F7:F8"/>
    <mergeCell ref="G7:G8"/>
    <mergeCell ref="H7:H8"/>
    <mergeCell ref="I7:I8"/>
    <mergeCell ref="J7:J8"/>
    <mergeCell ref="A4:J6"/>
    <mergeCell ref="A14:J16"/>
  </mergeCells>
  <pageMargins left="0.35" right="0.17" top="1.32" bottom="0.98" header="0.68" footer="0.51"/>
  <pageSetup paperSize="9" orientation="landscape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zoomScale="88" zoomScaleNormal="88" zoomScaleSheetLayoutView="60" workbookViewId="0">
      <selection activeCell="P7" sqref="P7"/>
    </sheetView>
  </sheetViews>
  <sheetFormatPr defaultColWidth="9" defaultRowHeight="17.6"/>
  <cols>
    <col min="1" max="1" width="9" customWidth="1"/>
    <col min="2" max="4" width="3.875" customWidth="1"/>
    <col min="5" max="5" width="6.625" customWidth="1"/>
    <col min="6" max="8" width="3" customWidth="1"/>
    <col min="9" max="9" width="2.625" customWidth="1"/>
    <col min="10" max="11" width="5.875" customWidth="1"/>
    <col min="12" max="12" width="6.125" customWidth="1"/>
    <col min="13" max="13" width="6.625" customWidth="1"/>
    <col min="14" max="14" width="7.25" customWidth="1"/>
    <col min="15" max="15" width="8.25" customWidth="1"/>
    <col min="16" max="16" width="3.625" customWidth="1"/>
    <col min="17" max="17" width="7.875" customWidth="1"/>
    <col min="18" max="18" width="7.375" customWidth="1"/>
    <col min="19" max="19" width="5.25" customWidth="1"/>
    <col min="20" max="20" width="3.375" customWidth="1"/>
    <col min="21" max="21" width="3.125" customWidth="1"/>
    <col min="22" max="22" width="5.25" customWidth="1"/>
    <col min="23" max="23" width="7.375" customWidth="1"/>
    <col min="24" max="24" width="8.11607142857143" customWidth="1"/>
    <col min="25" max="25" width="5" customWidth="1"/>
    <col min="26" max="26" width="9.375"/>
    <col min="28" max="28" width="9.375"/>
  </cols>
  <sheetData>
    <row r="1" ht="52.5" customHeight="1" spans="1:25">
      <c r="A1" s="12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35.45" customHeight="1" spans="1:25">
      <c r="A2" s="14" t="s">
        <v>24</v>
      </c>
      <c r="B2" s="15" t="s">
        <v>25</v>
      </c>
      <c r="C2" s="16" t="s">
        <v>26</v>
      </c>
      <c r="D2" s="16"/>
      <c r="E2" s="16"/>
      <c r="F2" s="27" t="s">
        <v>27</v>
      </c>
      <c r="G2" s="28"/>
      <c r="H2" s="28"/>
      <c r="I2" s="28"/>
      <c r="J2" s="28"/>
      <c r="K2" s="28"/>
      <c r="L2" s="28"/>
      <c r="M2" s="38"/>
      <c r="N2" s="15" t="s">
        <v>28</v>
      </c>
      <c r="O2" s="15" t="s">
        <v>29</v>
      </c>
      <c r="P2" s="15" t="s">
        <v>30</v>
      </c>
      <c r="Q2" s="15" t="s">
        <v>31</v>
      </c>
      <c r="R2" s="205" t="s">
        <v>32</v>
      </c>
      <c r="S2" s="15" t="s">
        <v>33</v>
      </c>
      <c r="T2" s="24" t="s">
        <v>34</v>
      </c>
      <c r="U2" s="216"/>
      <c r="V2" s="16" t="s">
        <v>35</v>
      </c>
      <c r="W2" s="16"/>
      <c r="X2" s="16"/>
      <c r="Y2" s="15" t="s">
        <v>36</v>
      </c>
    </row>
    <row r="3" ht="35.45" customHeight="1" spans="1:28">
      <c r="A3" s="17"/>
      <c r="B3" s="18"/>
      <c r="C3" s="19" t="s">
        <v>37</v>
      </c>
      <c r="D3" s="19" t="s">
        <v>38</v>
      </c>
      <c r="E3" s="19" t="s">
        <v>39</v>
      </c>
      <c r="F3" s="27" t="s">
        <v>40</v>
      </c>
      <c r="G3" s="29"/>
      <c r="H3" s="29"/>
      <c r="I3" s="34"/>
      <c r="J3" s="27" t="s">
        <v>41</v>
      </c>
      <c r="K3" s="29"/>
      <c r="L3" s="29"/>
      <c r="M3" s="34"/>
      <c r="N3" s="18"/>
      <c r="O3" s="18"/>
      <c r="P3" s="18"/>
      <c r="Q3" s="18"/>
      <c r="R3" s="206"/>
      <c r="S3" s="18"/>
      <c r="T3" s="45" t="s">
        <v>37</v>
      </c>
      <c r="U3" s="45" t="s">
        <v>38</v>
      </c>
      <c r="V3" s="45" t="s">
        <v>42</v>
      </c>
      <c r="W3" s="15" t="s">
        <v>43</v>
      </c>
      <c r="X3" s="15" t="s">
        <v>44</v>
      </c>
      <c r="Y3" s="18"/>
      <c r="AB3" s="7"/>
    </row>
    <row r="4" ht="56.25" customHeight="1" spans="1:25">
      <c r="A4" s="2"/>
      <c r="B4" s="2"/>
      <c r="C4" s="20"/>
      <c r="D4" s="20"/>
      <c r="E4" s="20"/>
      <c r="F4" s="30" t="s">
        <v>45</v>
      </c>
      <c r="G4" s="30" t="s">
        <v>46</v>
      </c>
      <c r="H4" s="30" t="s">
        <v>47</v>
      </c>
      <c r="I4" s="30" t="s">
        <v>48</v>
      </c>
      <c r="J4" s="35" t="s">
        <v>45</v>
      </c>
      <c r="K4" s="35" t="s">
        <v>46</v>
      </c>
      <c r="L4" s="35" t="s">
        <v>47</v>
      </c>
      <c r="M4" s="35" t="s">
        <v>48</v>
      </c>
      <c r="N4" s="2"/>
      <c r="O4" s="2"/>
      <c r="P4" s="2"/>
      <c r="Q4" s="2"/>
      <c r="R4" s="207"/>
      <c r="S4" s="2"/>
      <c r="T4" s="46"/>
      <c r="U4" s="46"/>
      <c r="V4" s="46"/>
      <c r="W4" s="47"/>
      <c r="X4" s="47"/>
      <c r="Y4" s="2"/>
    </row>
    <row r="5" ht="35.45" customHeight="1" spans="1:25">
      <c r="A5" s="184" t="s">
        <v>49</v>
      </c>
      <c r="B5" s="185">
        <v>13</v>
      </c>
      <c r="C5" s="186">
        <v>5</v>
      </c>
      <c r="D5" s="185">
        <v>10</v>
      </c>
      <c r="E5" s="191">
        <v>0.333333333333333</v>
      </c>
      <c r="F5" s="192" t="s">
        <v>50</v>
      </c>
      <c r="G5" s="193"/>
      <c r="H5" s="193"/>
      <c r="I5" s="197"/>
      <c r="J5" s="198">
        <f>站上报送原始1!R9</f>
        <v>24.2</v>
      </c>
      <c r="K5" s="198">
        <f>站上报送原始1!S9</f>
        <v>26.2</v>
      </c>
      <c r="L5" s="198">
        <f>站上报送原始1!T9</f>
        <v>21.6</v>
      </c>
      <c r="M5" s="198">
        <f>站上报送原始1!U9</f>
        <v>24.3</v>
      </c>
      <c r="N5" s="4">
        <f>站上报送原始1!V9</f>
        <v>30.7</v>
      </c>
      <c r="O5" s="200">
        <f>站上报送原始1!W9</f>
        <v>79.1530944625407</v>
      </c>
      <c r="P5" s="188">
        <f>站上报送原始1!I16</f>
        <v>3</v>
      </c>
      <c r="Q5" s="202">
        <f>站上报送原始1!I14</f>
        <v>7.3</v>
      </c>
      <c r="R5" s="208">
        <f>旬总流量计算!C3</f>
        <v>1.08864</v>
      </c>
      <c r="S5" s="209"/>
      <c r="T5" s="210"/>
      <c r="U5" s="210"/>
      <c r="V5" s="210" t="str">
        <f>站上报送原始1!B13</f>
        <v>蔬菜</v>
      </c>
      <c r="W5" s="210" t="str">
        <f>站上报送原始1!B14</f>
        <v>成长期</v>
      </c>
      <c r="X5" s="217" t="str">
        <f>站上报送原始1!B15</f>
        <v>正常</v>
      </c>
      <c r="Y5" s="219" t="s">
        <v>51</v>
      </c>
    </row>
    <row r="6" s="183" customFormat="1" ht="35.45" customHeight="1" spans="1:25">
      <c r="A6" s="187" t="s">
        <v>52</v>
      </c>
      <c r="B6" s="188">
        <v>13</v>
      </c>
      <c r="C6" s="189">
        <v>5</v>
      </c>
      <c r="D6" s="188">
        <v>10</v>
      </c>
      <c r="E6" s="194">
        <v>0.336805555555556</v>
      </c>
      <c r="F6" s="195"/>
      <c r="G6" s="196"/>
      <c r="H6" s="196"/>
      <c r="I6" s="199"/>
      <c r="J6" s="198">
        <f>站上报送原始1!R28</f>
        <v>20.2</v>
      </c>
      <c r="K6" s="198">
        <f>站上报送原始1!S28</f>
        <v>22.9</v>
      </c>
      <c r="L6" s="198">
        <f>站上报送原始1!T28</f>
        <v>24.5</v>
      </c>
      <c r="M6" s="198">
        <f>站上报送原始1!U28</f>
        <v>22.2875</v>
      </c>
      <c r="N6" s="201">
        <f>站上报送原始1!V28</f>
        <v>28.08</v>
      </c>
      <c r="O6" s="202">
        <f>站上报送原始1!W28</f>
        <v>79.3714387464387</v>
      </c>
      <c r="P6" s="188">
        <f>站上报送原始1!I35</f>
        <v>3</v>
      </c>
      <c r="Q6" s="202">
        <f>站上报送原始1!I33</f>
        <v>10.9</v>
      </c>
      <c r="R6" s="211">
        <f>旬总流量计算!C4</f>
        <v>0.0546912</v>
      </c>
      <c r="S6" s="202">
        <f>站上报送原始1!I34</f>
        <v>28.7</v>
      </c>
      <c r="T6" s="212"/>
      <c r="U6" s="212"/>
      <c r="V6" s="212" t="str">
        <f>站上报送原始1!B32</f>
        <v>白地</v>
      </c>
      <c r="W6" s="212" t="str">
        <f>站上报送原始1!B33</f>
        <v>无</v>
      </c>
      <c r="X6" s="218" t="str">
        <f>站上报送原始1!B34</f>
        <v>正常</v>
      </c>
      <c r="Y6" s="220"/>
    </row>
    <row r="7" ht="35.45" customHeight="1" spans="1:25">
      <c r="A7" s="184" t="s">
        <v>19</v>
      </c>
      <c r="B7" s="185">
        <v>13</v>
      </c>
      <c r="C7" s="186">
        <v>5</v>
      </c>
      <c r="D7" s="185">
        <v>10</v>
      </c>
      <c r="E7" s="191">
        <v>0.333333333333333</v>
      </c>
      <c r="F7" s="195"/>
      <c r="G7" s="196"/>
      <c r="H7" s="196"/>
      <c r="I7" s="199"/>
      <c r="J7" s="198">
        <f>站上报送原始1!R47</f>
        <v>26.8</v>
      </c>
      <c r="K7" s="198">
        <f>站上报送原始1!S47</f>
        <v>22.6</v>
      </c>
      <c r="L7" s="198">
        <f>站上报送原始1!T47</f>
        <v>21.3</v>
      </c>
      <c r="M7" s="198">
        <f>站上报送原始1!U47</f>
        <v>23.85</v>
      </c>
      <c r="N7" s="203">
        <f>站上报送原始1!P44</f>
        <v>27</v>
      </c>
      <c r="O7" s="204">
        <f>站上报送原始1!W47</f>
        <v>88.3333333333333</v>
      </c>
      <c r="P7" s="185">
        <f>站上报送原始1!I54</f>
        <v>3</v>
      </c>
      <c r="Q7" s="204">
        <f>站上报送原始1!I52</f>
        <v>17.1</v>
      </c>
      <c r="R7" s="213">
        <f>旬总流量计算!C5</f>
        <v>0.121824</v>
      </c>
      <c r="S7" s="214"/>
      <c r="T7" s="210"/>
      <c r="U7" s="210"/>
      <c r="V7" s="210" t="str">
        <f>站上报送原始1!B51</f>
        <v>蔬菜</v>
      </c>
      <c r="W7" s="210" t="str">
        <f>站上报送原始1!B52</f>
        <v>生长期</v>
      </c>
      <c r="X7" s="217" t="str">
        <f>站上报送原始1!B53</f>
        <v>正常</v>
      </c>
      <c r="Y7" s="221"/>
    </row>
    <row r="8" ht="35.45" customHeight="1" spans="1:25">
      <c r="A8" s="184" t="s">
        <v>53</v>
      </c>
      <c r="B8" s="185">
        <v>13</v>
      </c>
      <c r="C8" s="186">
        <v>5</v>
      </c>
      <c r="D8" s="185">
        <v>10</v>
      </c>
      <c r="E8" s="191">
        <v>0.333333333333333</v>
      </c>
      <c r="F8" s="195"/>
      <c r="G8" s="196"/>
      <c r="H8" s="196"/>
      <c r="I8" s="199"/>
      <c r="J8" s="198">
        <f>站上报送原始1!R66</f>
        <v>20.3</v>
      </c>
      <c r="K8" s="198">
        <f>站上报送原始1!S66</f>
        <v>22.3</v>
      </c>
      <c r="L8" s="198">
        <f>站上报送原始1!T66</f>
        <v>21.2</v>
      </c>
      <c r="M8" s="198">
        <f>站上报送原始1!U66</f>
        <v>21.275</v>
      </c>
      <c r="N8" s="4">
        <f>站上报送原始1!V66</f>
        <v>25.45</v>
      </c>
      <c r="O8" s="200">
        <f>站上报送原始1!W66</f>
        <v>83.5952848722986</v>
      </c>
      <c r="P8" s="188">
        <f>站上报送原始1!I73</f>
        <v>3</v>
      </c>
      <c r="Q8" s="202">
        <f>站上报送原始1!I71</f>
        <v>12.8</v>
      </c>
      <c r="R8" s="208">
        <f>旬总流量计算!C6</f>
        <v>0.0157248</v>
      </c>
      <c r="S8" s="215">
        <f>站上报送原始1!I72</f>
        <v>29.2</v>
      </c>
      <c r="T8" s="210"/>
      <c r="U8" s="210"/>
      <c r="V8" s="210" t="str">
        <f>站上报送原始1!B70</f>
        <v>蔬菜</v>
      </c>
      <c r="W8" s="210" t="str">
        <f>站上报送原始1!B71</f>
        <v>成长期</v>
      </c>
      <c r="X8" s="217" t="str">
        <f>站上报送原始1!B72</f>
        <v>正常</v>
      </c>
      <c r="Y8" s="222"/>
    </row>
    <row r="9" ht="35.45" customHeight="1" spans="1:25">
      <c r="A9" s="23" t="s">
        <v>54</v>
      </c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50"/>
    </row>
    <row r="10" ht="29.25" customHeight="1" spans="1:25">
      <c r="A10" s="190" t="s">
        <v>55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</row>
  </sheetData>
  <mergeCells count="28">
    <mergeCell ref="A1:Y1"/>
    <mergeCell ref="C2:E2"/>
    <mergeCell ref="F2:M2"/>
    <mergeCell ref="T2:U2"/>
    <mergeCell ref="V2:X2"/>
    <mergeCell ref="F3:I3"/>
    <mergeCell ref="J3:M3"/>
    <mergeCell ref="B9:Y9"/>
    <mergeCell ref="A10:Y10"/>
    <mergeCell ref="A2:A4"/>
    <mergeCell ref="B2:B4"/>
    <mergeCell ref="C3:C4"/>
    <mergeCell ref="D3:D4"/>
    <mergeCell ref="E3:E4"/>
    <mergeCell ref="N2:N4"/>
    <mergeCell ref="O2:O4"/>
    <mergeCell ref="P2:P4"/>
    <mergeCell ref="Q2:Q4"/>
    <mergeCell ref="R2:R4"/>
    <mergeCell ref="S2:S4"/>
    <mergeCell ref="T3:T4"/>
    <mergeCell ref="U3:U4"/>
    <mergeCell ref="V3:V4"/>
    <mergeCell ref="W3:W4"/>
    <mergeCell ref="X3:X4"/>
    <mergeCell ref="Y2:Y4"/>
    <mergeCell ref="Y5:Y8"/>
    <mergeCell ref="F5:I8"/>
  </mergeCells>
  <pageMargins left="0.43" right="0.16" top="0.748031496062992" bottom="0.748031496062992" header="0.31496062992126" footer="0.31496062992126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5"/>
  <sheetViews>
    <sheetView zoomScale="72" zoomScaleNormal="72" zoomScaleSheetLayoutView="60" topLeftCell="A16" workbookViewId="0">
      <selection activeCell="F27" sqref="F27"/>
    </sheetView>
  </sheetViews>
  <sheetFormatPr defaultColWidth="9" defaultRowHeight="17.6"/>
  <sheetData>
    <row r="1" ht="20.4" spans="1:17">
      <c r="A1" s="51" t="s">
        <v>56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>
      <c r="A2" s="52" t="s">
        <v>57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165"/>
    </row>
    <row r="3" ht="14.25" customHeight="1" spans="1:17">
      <c r="A3" s="54"/>
      <c r="B3" s="55"/>
      <c r="C3" s="56" t="s">
        <v>58</v>
      </c>
      <c r="D3" s="57"/>
      <c r="E3" s="57"/>
      <c r="F3" s="57"/>
      <c r="G3" s="57"/>
      <c r="H3" s="57"/>
      <c r="I3" s="57"/>
      <c r="J3" s="57"/>
      <c r="K3" s="105"/>
      <c r="L3" s="114" t="s">
        <v>59</v>
      </c>
      <c r="M3" s="136"/>
      <c r="N3" s="137"/>
      <c r="O3" s="138" t="s">
        <v>60</v>
      </c>
      <c r="P3" s="139" t="s">
        <v>61</v>
      </c>
      <c r="Q3" s="139" t="s">
        <v>62</v>
      </c>
    </row>
    <row r="4" spans="1:17">
      <c r="A4" s="58"/>
      <c r="B4" s="59"/>
      <c r="C4" s="56">
        <v>10</v>
      </c>
      <c r="D4" s="57"/>
      <c r="E4" s="105"/>
      <c r="F4" s="106">
        <v>20</v>
      </c>
      <c r="G4" s="106"/>
      <c r="H4" s="106"/>
      <c r="I4" s="106">
        <v>40</v>
      </c>
      <c r="J4" s="106"/>
      <c r="K4" s="106"/>
      <c r="L4" s="115"/>
      <c r="M4" s="140"/>
      <c r="N4" s="141"/>
      <c r="O4" s="142"/>
      <c r="P4" s="143"/>
      <c r="Q4" s="143"/>
    </row>
    <row r="5" spans="1:17">
      <c r="A5" s="60" t="s">
        <v>63</v>
      </c>
      <c r="B5" s="60"/>
      <c r="C5" s="61">
        <v>31</v>
      </c>
      <c r="D5" s="61">
        <v>32</v>
      </c>
      <c r="E5" s="61">
        <v>33</v>
      </c>
      <c r="F5" s="61">
        <v>34</v>
      </c>
      <c r="G5" s="61">
        <v>35</v>
      </c>
      <c r="H5" s="61">
        <v>36</v>
      </c>
      <c r="I5" s="61">
        <v>37</v>
      </c>
      <c r="J5" s="61">
        <v>38</v>
      </c>
      <c r="K5" s="61">
        <v>39</v>
      </c>
      <c r="L5" s="116">
        <v>1</v>
      </c>
      <c r="M5" s="116">
        <v>2</v>
      </c>
      <c r="N5" s="116">
        <v>3</v>
      </c>
      <c r="O5" s="144"/>
      <c r="P5" s="145"/>
      <c r="Q5" s="145"/>
    </row>
    <row r="6" spans="1:17">
      <c r="A6" s="60" t="s">
        <v>64</v>
      </c>
      <c r="B6" s="61">
        <v>1</v>
      </c>
      <c r="C6" s="62">
        <v>78.4</v>
      </c>
      <c r="D6" s="62">
        <v>79.9</v>
      </c>
      <c r="E6" s="62">
        <v>80.7</v>
      </c>
      <c r="F6" s="62">
        <v>79.3</v>
      </c>
      <c r="G6" s="62">
        <v>80.9</v>
      </c>
      <c r="H6" s="62">
        <v>81.8</v>
      </c>
      <c r="I6" s="62">
        <v>74.7</v>
      </c>
      <c r="J6" s="62">
        <v>75.4</v>
      </c>
      <c r="K6" s="62">
        <v>76.5</v>
      </c>
      <c r="L6" s="117">
        <f>C12</f>
        <v>24.2345414634587</v>
      </c>
      <c r="M6" s="117">
        <f>F12</f>
        <v>26.1725445335586</v>
      </c>
      <c r="N6" s="117">
        <f>I12</f>
        <v>21.5794310189055</v>
      </c>
      <c r="O6" s="146">
        <f>(3*L6+3*M6+2*N6)/8</f>
        <v>24.2975150036078</v>
      </c>
      <c r="P6" s="120">
        <v>30.7</v>
      </c>
      <c r="Q6" s="117">
        <f>O6/P6*100</f>
        <v>79.1450000117519</v>
      </c>
    </row>
    <row r="7" spans="1:17">
      <c r="A7" s="60" t="s">
        <v>65</v>
      </c>
      <c r="B7" s="61">
        <v>2</v>
      </c>
      <c r="C7" s="62">
        <v>66.3</v>
      </c>
      <c r="D7" s="62">
        <v>67.5</v>
      </c>
      <c r="E7" s="62">
        <v>67.8</v>
      </c>
      <c r="F7" s="62">
        <v>66.5</v>
      </c>
      <c r="G7" s="62">
        <v>67.4</v>
      </c>
      <c r="H7" s="62">
        <v>68.1</v>
      </c>
      <c r="I7" s="62">
        <v>64.6</v>
      </c>
      <c r="J7" s="62">
        <v>64.8</v>
      </c>
      <c r="K7" s="62">
        <v>65.6</v>
      </c>
      <c r="L7" s="117"/>
      <c r="M7" s="117"/>
      <c r="N7" s="117"/>
      <c r="O7" s="146"/>
      <c r="P7" s="120"/>
      <c r="Q7" s="117"/>
    </row>
    <row r="8" spans="1:23">
      <c r="A8" s="60" t="s">
        <v>66</v>
      </c>
      <c r="B8" s="61">
        <v>3</v>
      </c>
      <c r="C8" s="61">
        <v>15.6</v>
      </c>
      <c r="D8" s="63">
        <v>16</v>
      </c>
      <c r="E8" s="61">
        <v>15.7</v>
      </c>
      <c r="F8" s="107">
        <v>16.7</v>
      </c>
      <c r="G8" s="107">
        <v>16.1</v>
      </c>
      <c r="H8" s="107">
        <v>16.4</v>
      </c>
      <c r="I8" s="107">
        <v>16.7</v>
      </c>
      <c r="J8" s="107">
        <v>15.9</v>
      </c>
      <c r="K8" s="107">
        <v>16</v>
      </c>
      <c r="L8" s="117"/>
      <c r="M8" s="117"/>
      <c r="N8" s="117"/>
      <c r="O8" s="146"/>
      <c r="P8" s="120"/>
      <c r="Q8" s="117"/>
      <c r="R8" s="92" t="s">
        <v>67</v>
      </c>
      <c r="S8" s="166"/>
      <c r="T8" s="166"/>
      <c r="U8" s="7" t="s">
        <v>68</v>
      </c>
      <c r="V8" s="7"/>
      <c r="W8" s="7"/>
    </row>
    <row r="9" spans="1:23">
      <c r="A9" s="61" t="s">
        <v>69</v>
      </c>
      <c r="B9" s="61" t="s">
        <v>70</v>
      </c>
      <c r="C9" s="63">
        <f t="shared" ref="C9:K9" si="0">C7-C8</f>
        <v>50.7</v>
      </c>
      <c r="D9" s="63">
        <f t="shared" si="0"/>
        <v>51.5</v>
      </c>
      <c r="E9" s="63">
        <f t="shared" si="0"/>
        <v>52.1</v>
      </c>
      <c r="F9" s="63">
        <f t="shared" si="0"/>
        <v>49.8</v>
      </c>
      <c r="G9" s="61">
        <f t="shared" si="0"/>
        <v>51.3</v>
      </c>
      <c r="H9" s="61">
        <f t="shared" si="0"/>
        <v>51.7</v>
      </c>
      <c r="I9" s="63">
        <f t="shared" si="0"/>
        <v>47.9</v>
      </c>
      <c r="J9" s="61">
        <f t="shared" si="0"/>
        <v>48.9</v>
      </c>
      <c r="K9" s="63">
        <f t="shared" si="0"/>
        <v>49.6</v>
      </c>
      <c r="L9" s="117"/>
      <c r="M9" s="117"/>
      <c r="N9" s="117"/>
      <c r="O9" s="146"/>
      <c r="P9" s="120"/>
      <c r="Q9" s="117"/>
      <c r="R9" s="167">
        <v>24.2</v>
      </c>
      <c r="S9" s="167">
        <v>26.2</v>
      </c>
      <c r="T9" s="167">
        <v>21.6</v>
      </c>
      <c r="U9" s="161">
        <f>(3*R9+3*S9+2*T9)/8</f>
        <v>24.3</v>
      </c>
      <c r="V9" s="172">
        <v>30.7</v>
      </c>
      <c r="W9" s="5">
        <f>U9/V9*100</f>
        <v>79.1530944625407</v>
      </c>
    </row>
    <row r="10" spans="1:23">
      <c r="A10" s="61" t="s">
        <v>71</v>
      </c>
      <c r="B10" s="61" t="s">
        <v>72</v>
      </c>
      <c r="C10" s="61">
        <f t="shared" ref="C10:K10" si="1">C6-C7</f>
        <v>12.1</v>
      </c>
      <c r="D10" s="61">
        <f t="shared" si="1"/>
        <v>12.4</v>
      </c>
      <c r="E10" s="61">
        <f t="shared" si="1"/>
        <v>12.9</v>
      </c>
      <c r="F10" s="63">
        <f t="shared" si="1"/>
        <v>12.8</v>
      </c>
      <c r="G10" s="61">
        <f t="shared" si="1"/>
        <v>13.5</v>
      </c>
      <c r="H10" s="63">
        <f t="shared" si="1"/>
        <v>13.7</v>
      </c>
      <c r="I10" s="61">
        <f t="shared" si="1"/>
        <v>10.1</v>
      </c>
      <c r="J10" s="61">
        <f t="shared" si="1"/>
        <v>10.6</v>
      </c>
      <c r="K10" s="61">
        <f t="shared" si="1"/>
        <v>10.9</v>
      </c>
      <c r="L10" s="117"/>
      <c r="M10" s="117"/>
      <c r="N10" s="117"/>
      <c r="O10" s="146"/>
      <c r="P10" s="120"/>
      <c r="Q10" s="117"/>
      <c r="U10" s="161"/>
      <c r="V10" s="172"/>
      <c r="W10" s="5"/>
    </row>
    <row r="11" spans="1:23">
      <c r="A11" s="61" t="s">
        <v>73</v>
      </c>
      <c r="B11" s="64" t="s">
        <v>74</v>
      </c>
      <c r="C11" s="63">
        <f t="shared" ref="C11:K11" si="2">C10/C9*100</f>
        <v>23.8658777120316</v>
      </c>
      <c r="D11" s="63">
        <f t="shared" si="2"/>
        <v>24.0776699029126</v>
      </c>
      <c r="E11" s="63">
        <f t="shared" si="2"/>
        <v>24.7600767754319</v>
      </c>
      <c r="F11" s="63">
        <f t="shared" si="2"/>
        <v>25.7028112449799</v>
      </c>
      <c r="G11" s="63">
        <f t="shared" si="2"/>
        <v>26.3157894736842</v>
      </c>
      <c r="H11" s="63">
        <f t="shared" si="2"/>
        <v>26.4990328820116</v>
      </c>
      <c r="I11" s="63">
        <f t="shared" si="2"/>
        <v>21.0855949895616</v>
      </c>
      <c r="J11" s="63">
        <f t="shared" si="2"/>
        <v>21.6768916155419</v>
      </c>
      <c r="K11" s="63">
        <f t="shared" si="2"/>
        <v>21.9758064516129</v>
      </c>
      <c r="L11" s="117"/>
      <c r="M11" s="117"/>
      <c r="N11" s="117"/>
      <c r="O11" s="146"/>
      <c r="P11" s="120"/>
      <c r="Q11" s="117"/>
      <c r="U11" s="161"/>
      <c r="V11" s="172"/>
      <c r="W11" s="5"/>
    </row>
    <row r="12" spans="1:23">
      <c r="A12" s="65" t="s">
        <v>75</v>
      </c>
      <c r="B12" s="66"/>
      <c r="C12" s="63">
        <f>(C11+D11+E11)/3</f>
        <v>24.2345414634587</v>
      </c>
      <c r="D12" s="63"/>
      <c r="E12" s="63"/>
      <c r="F12" s="63">
        <f>(F11+G11+H11)/3</f>
        <v>26.1725445335586</v>
      </c>
      <c r="G12" s="63"/>
      <c r="H12" s="63"/>
      <c r="I12" s="63">
        <f>(I11+J11+K11)/3</f>
        <v>21.5794310189055</v>
      </c>
      <c r="J12" s="63"/>
      <c r="K12" s="63"/>
      <c r="L12" s="117"/>
      <c r="M12" s="117"/>
      <c r="N12" s="117"/>
      <c r="O12" s="146"/>
      <c r="P12" s="120"/>
      <c r="Q12" s="117"/>
      <c r="U12" s="161"/>
      <c r="V12" s="172"/>
      <c r="W12" s="5"/>
    </row>
    <row r="13" ht="14.25" customHeight="1" spans="1:23">
      <c r="A13" s="61" t="s">
        <v>76</v>
      </c>
      <c r="B13" s="61" t="s">
        <v>15</v>
      </c>
      <c r="C13" s="61"/>
      <c r="D13" s="61"/>
      <c r="E13" s="61"/>
      <c r="F13" s="61"/>
      <c r="G13" s="108" t="s">
        <v>77</v>
      </c>
      <c r="H13" s="109"/>
      <c r="I13" s="118" t="s">
        <v>78</v>
      </c>
      <c r="J13" s="61" t="s">
        <v>79</v>
      </c>
      <c r="K13" s="61"/>
      <c r="L13" s="56" t="s">
        <v>80</v>
      </c>
      <c r="M13" s="105"/>
      <c r="N13" s="147" t="s">
        <v>81</v>
      </c>
      <c r="O13" s="53"/>
      <c r="P13" s="53"/>
      <c r="Q13" s="165"/>
      <c r="U13" s="161"/>
      <c r="V13" s="172"/>
      <c r="W13" s="5"/>
    </row>
    <row r="14" ht="14.25" customHeight="1" spans="1:23">
      <c r="A14" s="61" t="s">
        <v>82</v>
      </c>
      <c r="B14" s="61" t="s">
        <v>83</v>
      </c>
      <c r="C14" s="61"/>
      <c r="D14" s="61"/>
      <c r="E14" s="61"/>
      <c r="F14" s="61"/>
      <c r="G14" s="108" t="s">
        <v>84</v>
      </c>
      <c r="H14" s="109"/>
      <c r="I14" s="119">
        <v>7.3</v>
      </c>
      <c r="J14" s="106" t="s">
        <v>85</v>
      </c>
      <c r="K14" s="106"/>
      <c r="L14" s="120" t="s">
        <v>86</v>
      </c>
      <c r="M14" s="106"/>
      <c r="N14" s="106" t="s">
        <v>87</v>
      </c>
      <c r="O14" s="106"/>
      <c r="P14" s="106"/>
      <c r="Q14" s="106"/>
      <c r="U14" s="161"/>
      <c r="V14" s="172"/>
      <c r="W14" s="5"/>
    </row>
    <row r="15" ht="34" spans="1:23">
      <c r="A15" s="67" t="s">
        <v>88</v>
      </c>
      <c r="B15" s="68" t="s">
        <v>87</v>
      </c>
      <c r="C15" s="68"/>
      <c r="D15" s="68"/>
      <c r="E15" s="68"/>
      <c r="F15" s="61"/>
      <c r="G15" s="108" t="s">
        <v>89</v>
      </c>
      <c r="H15" s="109"/>
      <c r="I15" s="61">
        <v>126</v>
      </c>
      <c r="J15" s="106"/>
      <c r="K15" s="106"/>
      <c r="L15" s="106"/>
      <c r="M15" s="106"/>
      <c r="N15" s="106"/>
      <c r="O15" s="106"/>
      <c r="P15" s="106"/>
      <c r="Q15" s="106"/>
      <c r="U15" s="161"/>
      <c r="V15" s="172"/>
      <c r="W15" s="5"/>
    </row>
    <row r="16" spans="1:23">
      <c r="A16" s="67" t="s">
        <v>90</v>
      </c>
      <c r="B16" s="61" t="s">
        <v>91</v>
      </c>
      <c r="C16" s="61"/>
      <c r="D16" s="61"/>
      <c r="E16" s="61"/>
      <c r="F16" s="61"/>
      <c r="G16" s="61" t="s">
        <v>92</v>
      </c>
      <c r="H16" s="61"/>
      <c r="I16" s="106">
        <v>3</v>
      </c>
      <c r="J16" s="106"/>
      <c r="K16" s="106"/>
      <c r="L16" s="106"/>
      <c r="M16" s="106"/>
      <c r="N16" s="106"/>
      <c r="O16" s="106"/>
      <c r="P16" s="106"/>
      <c r="Q16" s="106"/>
      <c r="U16" s="173">
        <f>U9-O6</f>
        <v>0.00248499639215183</v>
      </c>
      <c r="V16" s="173">
        <f>V9-P6</f>
        <v>0</v>
      </c>
      <c r="W16" s="173">
        <f>W9-Q6</f>
        <v>0.00809445078876081</v>
      </c>
    </row>
    <row r="17" spans="1:17">
      <c r="A17" s="67" t="s">
        <v>93</v>
      </c>
      <c r="B17" s="61" t="s">
        <v>94</v>
      </c>
      <c r="C17" s="61"/>
      <c r="D17" s="61"/>
      <c r="E17" s="61"/>
      <c r="F17" s="61"/>
      <c r="G17" s="61" t="s">
        <v>95</v>
      </c>
      <c r="H17" s="61"/>
      <c r="I17" s="61" t="s">
        <v>78</v>
      </c>
      <c r="J17" s="106"/>
      <c r="K17" s="106"/>
      <c r="L17" s="106"/>
      <c r="M17" s="106"/>
      <c r="N17" s="106"/>
      <c r="O17" s="106"/>
      <c r="P17" s="106"/>
      <c r="Q17" s="106"/>
    </row>
    <row r="18" spans="1:17">
      <c r="A18" s="69" t="s">
        <v>96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20" ht="20.4" spans="1:17">
      <c r="A20" s="51" t="s">
        <v>97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</row>
    <row r="21" spans="1:17">
      <c r="A21" s="71" t="s">
        <v>98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168"/>
    </row>
    <row r="22" ht="14.25" customHeight="1" spans="1:17">
      <c r="A22" s="73" t="s">
        <v>99</v>
      </c>
      <c r="B22" s="73"/>
      <c r="C22" s="74" t="s">
        <v>58</v>
      </c>
      <c r="D22" s="75"/>
      <c r="E22" s="75"/>
      <c r="F22" s="75"/>
      <c r="G22" s="75"/>
      <c r="H22" s="75"/>
      <c r="I22" s="75"/>
      <c r="J22" s="75"/>
      <c r="K22" s="110"/>
      <c r="L22" s="121" t="s">
        <v>59</v>
      </c>
      <c r="M22" s="121"/>
      <c r="N22" s="121"/>
      <c r="O22" s="148" t="s">
        <v>60</v>
      </c>
      <c r="P22" s="148" t="s">
        <v>100</v>
      </c>
      <c r="Q22" s="148" t="s">
        <v>62</v>
      </c>
    </row>
    <row r="23" spans="1:17">
      <c r="A23" s="73"/>
      <c r="B23" s="73"/>
      <c r="C23" s="74">
        <v>10</v>
      </c>
      <c r="D23" s="75"/>
      <c r="E23" s="110"/>
      <c r="F23" s="73">
        <v>20</v>
      </c>
      <c r="G23" s="73"/>
      <c r="H23" s="73"/>
      <c r="I23" s="73">
        <v>40</v>
      </c>
      <c r="J23" s="73"/>
      <c r="K23" s="73"/>
      <c r="L23" s="121"/>
      <c r="M23" s="121"/>
      <c r="N23" s="121"/>
      <c r="O23" s="148"/>
      <c r="P23" s="148"/>
      <c r="Q23" s="148"/>
    </row>
    <row r="24" spans="1:17">
      <c r="A24" s="76" t="s">
        <v>63</v>
      </c>
      <c r="B24" s="76"/>
      <c r="C24" s="77">
        <v>22</v>
      </c>
      <c r="D24" s="77">
        <v>23</v>
      </c>
      <c r="E24" s="77">
        <v>24</v>
      </c>
      <c r="F24" s="77">
        <v>25</v>
      </c>
      <c r="G24" s="77">
        <v>26</v>
      </c>
      <c r="H24" s="77">
        <v>27</v>
      </c>
      <c r="I24" s="77">
        <v>28</v>
      </c>
      <c r="J24" s="77">
        <v>29</v>
      </c>
      <c r="K24" s="77">
        <v>30</v>
      </c>
      <c r="L24" s="122">
        <v>1</v>
      </c>
      <c r="M24" s="122">
        <v>2</v>
      </c>
      <c r="N24" s="122">
        <v>3</v>
      </c>
      <c r="O24" s="82"/>
      <c r="P24" s="82"/>
      <c r="Q24" s="82"/>
    </row>
    <row r="25" spans="1:17">
      <c r="A25" s="76" t="s">
        <v>64</v>
      </c>
      <c r="B25" s="77">
        <v>1</v>
      </c>
      <c r="C25" s="78">
        <v>68.6</v>
      </c>
      <c r="D25" s="79">
        <v>76.1</v>
      </c>
      <c r="E25" s="79">
        <v>74.1</v>
      </c>
      <c r="F25" s="79">
        <v>71.8</v>
      </c>
      <c r="G25" s="79">
        <v>67</v>
      </c>
      <c r="H25" s="79">
        <v>64.5</v>
      </c>
      <c r="I25" s="79">
        <v>72.9</v>
      </c>
      <c r="J25" s="79">
        <v>77.7</v>
      </c>
      <c r="K25" s="79">
        <v>78.7</v>
      </c>
      <c r="L25" s="95">
        <f>C31</f>
        <v>20.1779670043143</v>
      </c>
      <c r="M25" s="95">
        <f>F31</f>
        <v>22.866305357108</v>
      </c>
      <c r="N25" s="95">
        <f>I31</f>
        <v>24.4772894015484</v>
      </c>
      <c r="O25" s="95">
        <f>(C31*3+F31*3+I31*2)/8</f>
        <v>22.2609244859205</v>
      </c>
      <c r="P25" s="77">
        <v>28.08</v>
      </c>
      <c r="Q25" s="169">
        <f>O25/P25*100</f>
        <v>79.2767966022808</v>
      </c>
    </row>
    <row r="26" spans="1:17">
      <c r="A26" s="76" t="s">
        <v>65</v>
      </c>
      <c r="B26" s="77">
        <v>2</v>
      </c>
      <c r="C26" s="80">
        <v>59.8</v>
      </c>
      <c r="D26" s="80">
        <v>66</v>
      </c>
      <c r="E26" s="80">
        <v>64.3</v>
      </c>
      <c r="F26" s="80">
        <v>61.4</v>
      </c>
      <c r="G26" s="80">
        <v>57.4</v>
      </c>
      <c r="H26" s="80">
        <v>55.4</v>
      </c>
      <c r="I26" s="80">
        <v>61.8</v>
      </c>
      <c r="J26" s="80">
        <v>65.5</v>
      </c>
      <c r="K26" s="80">
        <v>66.3</v>
      </c>
      <c r="L26" s="95"/>
      <c r="M26" s="95"/>
      <c r="N26" s="95"/>
      <c r="O26" s="95"/>
      <c r="P26" s="77"/>
      <c r="Q26" s="169"/>
    </row>
    <row r="27" spans="1:23">
      <c r="A27" s="76" t="s">
        <v>66</v>
      </c>
      <c r="B27" s="77">
        <v>3</v>
      </c>
      <c r="C27" s="81">
        <v>15.8</v>
      </c>
      <c r="D27" s="81">
        <v>15.9</v>
      </c>
      <c r="E27" s="81">
        <v>16.2</v>
      </c>
      <c r="F27" s="81">
        <v>15.6</v>
      </c>
      <c r="G27" s="81">
        <v>15.5</v>
      </c>
      <c r="H27" s="81">
        <v>15.8</v>
      </c>
      <c r="I27" s="81">
        <v>15.9</v>
      </c>
      <c r="J27" s="81">
        <v>15.9</v>
      </c>
      <c r="K27" s="81">
        <v>16</v>
      </c>
      <c r="L27" s="95"/>
      <c r="M27" s="95"/>
      <c r="N27" s="95"/>
      <c r="O27" s="95"/>
      <c r="P27" s="77"/>
      <c r="Q27" s="169"/>
      <c r="U27" s="7" t="s">
        <v>68</v>
      </c>
      <c r="V27" s="7"/>
      <c r="W27" s="7"/>
    </row>
    <row r="28" spans="1:23">
      <c r="A28" s="77" t="s">
        <v>69</v>
      </c>
      <c r="B28" s="77" t="s">
        <v>70</v>
      </c>
      <c r="C28" s="81">
        <f t="shared" ref="C28:K28" si="3">C26-C27</f>
        <v>44</v>
      </c>
      <c r="D28" s="81">
        <f t="shared" si="3"/>
        <v>50.1</v>
      </c>
      <c r="E28" s="81">
        <f t="shared" si="3"/>
        <v>48.1</v>
      </c>
      <c r="F28" s="81">
        <f t="shared" si="3"/>
        <v>45.8</v>
      </c>
      <c r="G28" s="81">
        <f t="shared" si="3"/>
        <v>41.9</v>
      </c>
      <c r="H28" s="81">
        <f t="shared" si="3"/>
        <v>39.6</v>
      </c>
      <c r="I28" s="81">
        <f t="shared" si="3"/>
        <v>45.9</v>
      </c>
      <c r="J28" s="81">
        <f t="shared" si="3"/>
        <v>49.6</v>
      </c>
      <c r="K28" s="81">
        <f t="shared" si="3"/>
        <v>50.3</v>
      </c>
      <c r="L28" s="95"/>
      <c r="M28" s="95"/>
      <c r="N28" s="95"/>
      <c r="O28" s="95"/>
      <c r="P28" s="77"/>
      <c r="Q28" s="169"/>
      <c r="R28" s="167">
        <v>20.2</v>
      </c>
      <c r="S28" s="167">
        <v>22.9</v>
      </c>
      <c r="T28" s="167">
        <v>24.5</v>
      </c>
      <c r="U28" s="161">
        <f>(R28*3+S28*3+T28*2)/8</f>
        <v>22.2875</v>
      </c>
      <c r="V28" s="172">
        <f>P25</f>
        <v>28.08</v>
      </c>
      <c r="W28" s="5">
        <f>U28/V28*100</f>
        <v>79.3714387464387</v>
      </c>
    </row>
    <row r="29" spans="1:23">
      <c r="A29" s="77" t="s">
        <v>71</v>
      </c>
      <c r="B29" s="77" t="s">
        <v>72</v>
      </c>
      <c r="C29" s="81">
        <f t="shared" ref="C29:K29" si="4">C25-C26</f>
        <v>8.8</v>
      </c>
      <c r="D29" s="81">
        <f t="shared" si="4"/>
        <v>10.1</v>
      </c>
      <c r="E29" s="81">
        <f t="shared" si="4"/>
        <v>9.8</v>
      </c>
      <c r="F29" s="81">
        <f t="shared" si="4"/>
        <v>10.4</v>
      </c>
      <c r="G29" s="81">
        <f t="shared" si="4"/>
        <v>9.6</v>
      </c>
      <c r="H29" s="81">
        <f t="shared" si="4"/>
        <v>9.1</v>
      </c>
      <c r="I29" s="81">
        <f t="shared" si="4"/>
        <v>11.1</v>
      </c>
      <c r="J29" s="81">
        <f t="shared" si="4"/>
        <v>12.2</v>
      </c>
      <c r="K29" s="81">
        <f t="shared" si="4"/>
        <v>12.4</v>
      </c>
      <c r="L29" s="95"/>
      <c r="M29" s="95"/>
      <c r="N29" s="95"/>
      <c r="O29" s="95"/>
      <c r="P29" s="77"/>
      <c r="Q29" s="169"/>
      <c r="U29" s="161"/>
      <c r="V29" s="172"/>
      <c r="W29" s="5"/>
    </row>
    <row r="30" spans="1:23">
      <c r="A30" s="77" t="s">
        <v>73</v>
      </c>
      <c r="B30" s="82" t="s">
        <v>74</v>
      </c>
      <c r="C30" s="81">
        <f t="shared" ref="C30:K30" si="5">C29/C28*100</f>
        <v>20</v>
      </c>
      <c r="D30" s="81">
        <f t="shared" si="5"/>
        <v>20.1596806387225</v>
      </c>
      <c r="E30" s="81">
        <f t="shared" si="5"/>
        <v>20.3742203742204</v>
      </c>
      <c r="F30" s="81">
        <f t="shared" si="5"/>
        <v>22.707423580786</v>
      </c>
      <c r="G30" s="81">
        <f t="shared" si="5"/>
        <v>22.9116945107399</v>
      </c>
      <c r="H30" s="81">
        <f t="shared" si="5"/>
        <v>22.979797979798</v>
      </c>
      <c r="I30" s="81">
        <f t="shared" si="5"/>
        <v>24.1830065359477</v>
      </c>
      <c r="J30" s="81">
        <f t="shared" si="5"/>
        <v>24.5967741935484</v>
      </c>
      <c r="K30" s="81">
        <f t="shared" si="5"/>
        <v>24.6520874751491</v>
      </c>
      <c r="L30" s="95"/>
      <c r="M30" s="95"/>
      <c r="N30" s="95"/>
      <c r="O30" s="95"/>
      <c r="P30" s="77"/>
      <c r="Q30" s="169"/>
      <c r="U30" s="161"/>
      <c r="V30" s="172"/>
      <c r="W30" s="5"/>
    </row>
    <row r="31" spans="1:23">
      <c r="A31" s="76" t="s">
        <v>75</v>
      </c>
      <c r="B31" s="76"/>
      <c r="C31" s="83">
        <f>(C30+D30+E30)/3</f>
        <v>20.1779670043143</v>
      </c>
      <c r="D31" s="84"/>
      <c r="E31" s="84"/>
      <c r="F31" s="83">
        <f>(F30+G30+H30)/3</f>
        <v>22.866305357108</v>
      </c>
      <c r="G31" s="84"/>
      <c r="H31" s="84"/>
      <c r="I31" s="83">
        <f>(I30+J30+K30)/3</f>
        <v>24.4772894015484</v>
      </c>
      <c r="J31" s="84"/>
      <c r="K31" s="84"/>
      <c r="L31" s="123"/>
      <c r="M31" s="123"/>
      <c r="N31" s="123"/>
      <c r="O31" s="123"/>
      <c r="P31" s="149"/>
      <c r="Q31" s="170"/>
      <c r="U31" s="161"/>
      <c r="V31" s="172"/>
      <c r="W31" s="5"/>
    </row>
    <row r="32" ht="14.25" customHeight="1" spans="1:23">
      <c r="A32" s="77" t="s">
        <v>76</v>
      </c>
      <c r="B32" s="77" t="s">
        <v>101</v>
      </c>
      <c r="C32" s="77"/>
      <c r="D32" s="77"/>
      <c r="E32" s="77"/>
      <c r="F32" s="77"/>
      <c r="G32" s="111" t="s">
        <v>102</v>
      </c>
      <c r="H32" s="112"/>
      <c r="I32" s="124"/>
      <c r="J32" s="77" t="s">
        <v>79</v>
      </c>
      <c r="K32" s="125"/>
      <c r="L32" s="74" t="s">
        <v>80</v>
      </c>
      <c r="M32" s="110"/>
      <c r="N32" s="150" t="s">
        <v>81</v>
      </c>
      <c r="O32" s="89"/>
      <c r="P32" s="89"/>
      <c r="Q32" s="171"/>
      <c r="U32" s="161"/>
      <c r="V32" s="172"/>
      <c r="W32" s="5"/>
    </row>
    <row r="33" ht="14.25" customHeight="1" spans="1:23">
      <c r="A33" s="77" t="s">
        <v>82</v>
      </c>
      <c r="B33" s="77" t="s">
        <v>78</v>
      </c>
      <c r="C33" s="77"/>
      <c r="D33" s="77"/>
      <c r="E33" s="77"/>
      <c r="F33" s="77"/>
      <c r="G33" s="111" t="s">
        <v>103</v>
      </c>
      <c r="H33" s="112"/>
      <c r="I33" s="126">
        <v>10.9</v>
      </c>
      <c r="J33" s="73" t="s">
        <v>87</v>
      </c>
      <c r="K33" s="73"/>
      <c r="L33" s="73" t="s">
        <v>104</v>
      </c>
      <c r="M33" s="73"/>
      <c r="N33" s="73" t="s">
        <v>87</v>
      </c>
      <c r="O33" s="73"/>
      <c r="P33" s="73"/>
      <c r="Q33" s="73"/>
      <c r="U33" s="161"/>
      <c r="V33" s="172"/>
      <c r="W33" s="5"/>
    </row>
    <row r="34" ht="34" spans="1:23">
      <c r="A34" s="85" t="s">
        <v>88</v>
      </c>
      <c r="B34" s="86" t="s">
        <v>87</v>
      </c>
      <c r="C34" s="86"/>
      <c r="D34" s="86"/>
      <c r="E34" s="86"/>
      <c r="F34" s="77"/>
      <c r="G34" s="111" t="s">
        <v>105</v>
      </c>
      <c r="H34" s="112"/>
      <c r="I34" s="113">
        <v>28.7</v>
      </c>
      <c r="J34" s="73"/>
      <c r="K34" s="73"/>
      <c r="L34" s="73"/>
      <c r="M34" s="73"/>
      <c r="N34" s="73"/>
      <c r="O34" s="73"/>
      <c r="P34" s="73"/>
      <c r="Q34" s="73"/>
      <c r="U34" s="161"/>
      <c r="V34" s="172"/>
      <c r="W34" s="5"/>
    </row>
    <row r="35" spans="1:23">
      <c r="A35" s="85" t="s">
        <v>90</v>
      </c>
      <c r="B35" s="77" t="s">
        <v>91</v>
      </c>
      <c r="C35" s="77"/>
      <c r="D35" s="77"/>
      <c r="E35" s="77"/>
      <c r="F35" s="77"/>
      <c r="G35" s="77" t="s">
        <v>92</v>
      </c>
      <c r="H35" s="77"/>
      <c r="I35" s="77">
        <v>3</v>
      </c>
      <c r="J35" s="73"/>
      <c r="K35" s="73"/>
      <c r="L35" s="73"/>
      <c r="M35" s="73"/>
      <c r="N35" s="73"/>
      <c r="O35" s="73"/>
      <c r="P35" s="73"/>
      <c r="Q35" s="73"/>
      <c r="U35" s="173">
        <f>U28-O25</f>
        <v>0.0265755140795463</v>
      </c>
      <c r="V35" s="173">
        <f>V28-P25</f>
        <v>0</v>
      </c>
      <c r="W35" s="173">
        <f>W28-Q25</f>
        <v>0.0946421441579162</v>
      </c>
    </row>
    <row r="36" spans="1:17">
      <c r="A36" s="85" t="s">
        <v>93</v>
      </c>
      <c r="B36" s="77" t="s">
        <v>94</v>
      </c>
      <c r="C36" s="77"/>
      <c r="D36" s="77"/>
      <c r="E36" s="77"/>
      <c r="F36" s="77"/>
      <c r="G36" s="77" t="s">
        <v>106</v>
      </c>
      <c r="H36" s="77"/>
      <c r="I36" s="124">
        <v>6.33</v>
      </c>
      <c r="J36" s="73"/>
      <c r="K36" s="73"/>
      <c r="L36" s="73"/>
      <c r="M36" s="73"/>
      <c r="N36" s="73"/>
      <c r="O36" s="73"/>
      <c r="P36" s="73"/>
      <c r="Q36" s="73"/>
    </row>
    <row r="37" spans="1:17">
      <c r="A37" s="87" t="s">
        <v>107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127"/>
      <c r="M37" s="127"/>
      <c r="N37" s="127"/>
      <c r="O37" s="127"/>
      <c r="P37" s="127"/>
      <c r="Q37" s="127"/>
    </row>
    <row r="39" ht="20.4" spans="1:17">
      <c r="A39" s="51" t="s">
        <v>108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ht="18" spans="1:17">
      <c r="A40" s="88" t="s">
        <v>109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171"/>
    </row>
    <row r="41" ht="14.25" customHeight="1" spans="1:17">
      <c r="A41" s="90" t="s">
        <v>99</v>
      </c>
      <c r="B41" s="91"/>
      <c r="C41" s="74" t="s">
        <v>58</v>
      </c>
      <c r="D41" s="75"/>
      <c r="E41" s="75"/>
      <c r="F41" s="75"/>
      <c r="G41" s="75"/>
      <c r="H41" s="75"/>
      <c r="I41" s="75"/>
      <c r="J41" s="75"/>
      <c r="K41" s="110"/>
      <c r="L41" s="128" t="s">
        <v>59</v>
      </c>
      <c r="M41" s="151"/>
      <c r="N41" s="152"/>
      <c r="O41" s="153" t="s">
        <v>60</v>
      </c>
      <c r="P41" s="154" t="s">
        <v>61</v>
      </c>
      <c r="Q41" s="154" t="s">
        <v>62</v>
      </c>
    </row>
    <row r="42" spans="1:17">
      <c r="A42" s="92"/>
      <c r="B42" s="93"/>
      <c r="C42" s="74">
        <v>10</v>
      </c>
      <c r="D42" s="75"/>
      <c r="E42" s="110"/>
      <c r="F42" s="73">
        <v>20</v>
      </c>
      <c r="G42" s="73"/>
      <c r="H42" s="73"/>
      <c r="I42" s="73">
        <v>40</v>
      </c>
      <c r="J42" s="73"/>
      <c r="K42" s="73"/>
      <c r="L42" s="129"/>
      <c r="M42" s="155"/>
      <c r="N42" s="156"/>
      <c r="O42" s="157"/>
      <c r="P42" s="158"/>
      <c r="Q42" s="158"/>
    </row>
    <row r="43" spans="1:17">
      <c r="A43" s="76" t="s">
        <v>63</v>
      </c>
      <c r="B43" s="76"/>
      <c r="C43" s="77">
        <v>1</v>
      </c>
      <c r="D43" s="77">
        <v>2</v>
      </c>
      <c r="E43" s="77">
        <v>3</v>
      </c>
      <c r="F43" s="77">
        <v>4</v>
      </c>
      <c r="G43" s="77">
        <v>5</v>
      </c>
      <c r="H43" s="77">
        <v>6</v>
      </c>
      <c r="I43" s="77">
        <v>7</v>
      </c>
      <c r="J43" s="77">
        <v>8</v>
      </c>
      <c r="K43" s="77">
        <v>9</v>
      </c>
      <c r="L43" s="130">
        <v>1</v>
      </c>
      <c r="M43" s="130">
        <v>2</v>
      </c>
      <c r="N43" s="130">
        <v>3</v>
      </c>
      <c r="O43" s="159"/>
      <c r="P43" s="160"/>
      <c r="Q43" s="160"/>
    </row>
    <row r="44" spans="1:17">
      <c r="A44" s="76" t="s">
        <v>64</v>
      </c>
      <c r="B44" s="77">
        <v>1</v>
      </c>
      <c r="C44" s="94">
        <v>81.2</v>
      </c>
      <c r="D44" s="94">
        <v>80.5</v>
      </c>
      <c r="E44" s="94">
        <v>81.8</v>
      </c>
      <c r="F44" s="94">
        <v>81.8</v>
      </c>
      <c r="G44" s="94">
        <v>81.6</v>
      </c>
      <c r="H44" s="94">
        <v>81.1</v>
      </c>
      <c r="I44" s="94">
        <v>80.8</v>
      </c>
      <c r="J44" s="94">
        <v>80.8</v>
      </c>
      <c r="K44" s="94">
        <v>80.8</v>
      </c>
      <c r="L44" s="3">
        <f>C50</f>
        <v>26.7979786967594</v>
      </c>
      <c r="M44" s="3">
        <f>F50</f>
        <v>22.5865635276611</v>
      </c>
      <c r="N44" s="3">
        <f>I50</f>
        <v>21.3082597015977</v>
      </c>
      <c r="O44" s="161">
        <f>(3*L44+3*M44+2*N44)/8</f>
        <v>23.8462682595571</v>
      </c>
      <c r="P44" s="3">
        <v>27</v>
      </c>
      <c r="Q44" s="3">
        <f>O44/P44*100</f>
        <v>88.3195120724338</v>
      </c>
    </row>
    <row r="45" spans="1:17">
      <c r="A45" s="76" t="s">
        <v>65</v>
      </c>
      <c r="B45" s="77">
        <v>2</v>
      </c>
      <c r="C45" s="94">
        <v>67.6</v>
      </c>
      <c r="D45" s="94">
        <v>66.9</v>
      </c>
      <c r="E45" s="94">
        <v>68</v>
      </c>
      <c r="F45" s="94">
        <v>69.5</v>
      </c>
      <c r="G45" s="94">
        <v>69.2</v>
      </c>
      <c r="H45" s="94">
        <v>69.5</v>
      </c>
      <c r="I45" s="94">
        <v>69.7</v>
      </c>
      <c r="J45" s="94">
        <v>69</v>
      </c>
      <c r="K45" s="94">
        <v>69.5</v>
      </c>
      <c r="L45" s="3"/>
      <c r="M45" s="3"/>
      <c r="N45" s="3"/>
      <c r="O45" s="161"/>
      <c r="P45" s="3"/>
      <c r="Q45" s="3"/>
    </row>
    <row r="46" spans="1:23">
      <c r="A46" s="76" t="s">
        <v>66</v>
      </c>
      <c r="B46" s="77">
        <v>3</v>
      </c>
      <c r="C46" s="77">
        <v>16.7</v>
      </c>
      <c r="D46" s="95">
        <v>16.4</v>
      </c>
      <c r="E46" s="77">
        <v>16.4</v>
      </c>
      <c r="F46" s="113">
        <v>15.9</v>
      </c>
      <c r="G46" s="113">
        <v>15.4</v>
      </c>
      <c r="H46" s="113">
        <v>16.2</v>
      </c>
      <c r="I46" s="113">
        <v>16.6</v>
      </c>
      <c r="J46" s="113">
        <v>15.5</v>
      </c>
      <c r="K46" s="113">
        <v>15.6</v>
      </c>
      <c r="L46" s="3"/>
      <c r="M46" s="3"/>
      <c r="N46" s="3"/>
      <c r="O46" s="161"/>
      <c r="P46" s="3"/>
      <c r="Q46" s="3"/>
      <c r="U46" s="7" t="s">
        <v>68</v>
      </c>
      <c r="V46" s="7"/>
      <c r="W46" s="7"/>
    </row>
    <row r="47" spans="1:23">
      <c r="A47" s="77" t="s">
        <v>69</v>
      </c>
      <c r="B47" s="77" t="s">
        <v>70</v>
      </c>
      <c r="C47" s="95">
        <f t="shared" ref="C47:K47" si="6">C45-C46</f>
        <v>50.9</v>
      </c>
      <c r="D47" s="95">
        <f t="shared" si="6"/>
        <v>50.5</v>
      </c>
      <c r="E47" s="95">
        <f t="shared" si="6"/>
        <v>51.6</v>
      </c>
      <c r="F47" s="95">
        <f t="shared" si="6"/>
        <v>53.6</v>
      </c>
      <c r="G47" s="95">
        <f t="shared" si="6"/>
        <v>53.8</v>
      </c>
      <c r="H47" s="95">
        <f t="shared" si="6"/>
        <v>53.3</v>
      </c>
      <c r="I47" s="95">
        <f t="shared" si="6"/>
        <v>53.1</v>
      </c>
      <c r="J47" s="95">
        <f t="shared" si="6"/>
        <v>53.5</v>
      </c>
      <c r="K47" s="95">
        <f t="shared" si="6"/>
        <v>53.9</v>
      </c>
      <c r="L47" s="3"/>
      <c r="M47" s="3"/>
      <c r="N47" s="3"/>
      <c r="O47" s="161"/>
      <c r="P47" s="3"/>
      <c r="Q47" s="3"/>
      <c r="R47" s="167">
        <v>26.8</v>
      </c>
      <c r="S47" s="167">
        <v>22.6</v>
      </c>
      <c r="T47" s="167">
        <v>21.3</v>
      </c>
      <c r="U47" s="161">
        <f>(3*R47+3*S47+2*T47)/8</f>
        <v>23.85</v>
      </c>
      <c r="V47" s="5">
        <f>P44</f>
        <v>27</v>
      </c>
      <c r="W47" s="5">
        <f>U47/V47*100</f>
        <v>88.3333333333333</v>
      </c>
    </row>
    <row r="48" spans="1:23">
      <c r="A48" s="77" t="s">
        <v>71</v>
      </c>
      <c r="B48" s="77" t="s">
        <v>72</v>
      </c>
      <c r="C48" s="95">
        <f t="shared" ref="C48:K48" si="7">C44-C45</f>
        <v>13.6</v>
      </c>
      <c r="D48" s="95">
        <f t="shared" si="7"/>
        <v>13.6</v>
      </c>
      <c r="E48" s="95">
        <f t="shared" si="7"/>
        <v>13.8</v>
      </c>
      <c r="F48" s="95">
        <f t="shared" si="7"/>
        <v>12.3</v>
      </c>
      <c r="G48" s="95">
        <f t="shared" si="7"/>
        <v>12.4</v>
      </c>
      <c r="H48" s="95">
        <f t="shared" si="7"/>
        <v>11.6</v>
      </c>
      <c r="I48" s="95">
        <f t="shared" si="7"/>
        <v>11.1</v>
      </c>
      <c r="J48" s="95">
        <f t="shared" si="7"/>
        <v>11.8</v>
      </c>
      <c r="K48" s="95">
        <f t="shared" si="7"/>
        <v>11.3</v>
      </c>
      <c r="L48" s="3"/>
      <c r="M48" s="3"/>
      <c r="N48" s="3"/>
      <c r="O48" s="161"/>
      <c r="P48" s="3"/>
      <c r="Q48" s="3"/>
      <c r="U48" s="161"/>
      <c r="V48" s="172"/>
      <c r="W48" s="5"/>
    </row>
    <row r="49" spans="1:23">
      <c r="A49" s="77" t="s">
        <v>73</v>
      </c>
      <c r="B49" s="82" t="s">
        <v>74</v>
      </c>
      <c r="C49" s="95">
        <f t="shared" ref="C49:K49" si="8">C48/C47*100</f>
        <v>26.7190569744597</v>
      </c>
      <c r="D49" s="95">
        <f t="shared" si="8"/>
        <v>26.9306930693069</v>
      </c>
      <c r="E49" s="95">
        <f t="shared" si="8"/>
        <v>26.7441860465116</v>
      </c>
      <c r="F49" s="95">
        <f t="shared" si="8"/>
        <v>22.9477611940298</v>
      </c>
      <c r="G49" s="95">
        <f t="shared" si="8"/>
        <v>23.0483271375465</v>
      </c>
      <c r="H49" s="95">
        <f t="shared" si="8"/>
        <v>21.7636022514071</v>
      </c>
      <c r="I49" s="95">
        <f t="shared" si="8"/>
        <v>20.9039548022599</v>
      </c>
      <c r="J49" s="95">
        <f t="shared" si="8"/>
        <v>22.0560747663551</v>
      </c>
      <c r="K49" s="95">
        <f t="shared" si="8"/>
        <v>20.9647495361781</v>
      </c>
      <c r="L49" s="3"/>
      <c r="M49" s="3"/>
      <c r="N49" s="3"/>
      <c r="O49" s="161"/>
      <c r="P49" s="3"/>
      <c r="Q49" s="3"/>
      <c r="U49" s="161"/>
      <c r="V49" s="172"/>
      <c r="W49" s="5"/>
    </row>
    <row r="50" spans="1:23">
      <c r="A50" s="96" t="s">
        <v>75</v>
      </c>
      <c r="B50" s="97"/>
      <c r="C50" s="95">
        <f>(C49+D49+E49)/3</f>
        <v>26.7979786967594</v>
      </c>
      <c r="D50" s="95"/>
      <c r="E50" s="95"/>
      <c r="F50" s="95">
        <f>(F49+G49+H49)/3</f>
        <v>22.5865635276611</v>
      </c>
      <c r="G50" s="95"/>
      <c r="H50" s="95"/>
      <c r="I50" s="95">
        <f>(I49+J49+K49)/3</f>
        <v>21.3082597015977</v>
      </c>
      <c r="J50" s="95"/>
      <c r="K50" s="95"/>
      <c r="L50" s="3"/>
      <c r="M50" s="3"/>
      <c r="N50" s="3"/>
      <c r="O50" s="161"/>
      <c r="P50" s="3"/>
      <c r="Q50" s="3"/>
      <c r="U50" s="161"/>
      <c r="V50" s="172"/>
      <c r="W50" s="5"/>
    </row>
    <row r="51" ht="14.25" customHeight="1" spans="1:23">
      <c r="A51" s="77" t="s">
        <v>76</v>
      </c>
      <c r="B51" s="77" t="s">
        <v>15</v>
      </c>
      <c r="C51" s="77"/>
      <c r="D51" s="77"/>
      <c r="E51" s="77"/>
      <c r="F51" s="77"/>
      <c r="G51" s="111" t="s">
        <v>77</v>
      </c>
      <c r="H51" s="112"/>
      <c r="I51" s="124" t="s">
        <v>78</v>
      </c>
      <c r="J51" s="77" t="s">
        <v>79</v>
      </c>
      <c r="K51" s="77"/>
      <c r="L51" s="74" t="s">
        <v>80</v>
      </c>
      <c r="M51" s="110"/>
      <c r="N51" s="150" t="s">
        <v>81</v>
      </c>
      <c r="O51" s="89"/>
      <c r="P51" s="89"/>
      <c r="Q51" s="171"/>
      <c r="U51" s="161"/>
      <c r="V51" s="172"/>
      <c r="W51" s="5"/>
    </row>
    <row r="52" ht="14.25" customHeight="1" spans="1:23">
      <c r="A52" s="77" t="s">
        <v>82</v>
      </c>
      <c r="B52" s="98" t="s">
        <v>110</v>
      </c>
      <c r="C52" s="77"/>
      <c r="D52" s="77"/>
      <c r="E52" s="77"/>
      <c r="F52" s="77"/>
      <c r="G52" s="111" t="s">
        <v>84</v>
      </c>
      <c r="H52" s="112"/>
      <c r="I52" s="131">
        <v>17.1</v>
      </c>
      <c r="J52" s="132" t="s">
        <v>87</v>
      </c>
      <c r="K52" s="73"/>
      <c r="L52" s="132" t="s">
        <v>104</v>
      </c>
      <c r="M52" s="73"/>
      <c r="N52" s="73" t="s">
        <v>87</v>
      </c>
      <c r="O52" s="73"/>
      <c r="P52" s="73"/>
      <c r="Q52" s="73"/>
      <c r="U52" s="161"/>
      <c r="V52" s="172"/>
      <c r="W52" s="5"/>
    </row>
    <row r="53" ht="34" spans="1:23">
      <c r="A53" s="85" t="s">
        <v>88</v>
      </c>
      <c r="B53" s="86" t="s">
        <v>87</v>
      </c>
      <c r="C53" s="86"/>
      <c r="D53" s="86"/>
      <c r="E53" s="86"/>
      <c r="F53" s="77"/>
      <c r="G53" s="111" t="s">
        <v>111</v>
      </c>
      <c r="H53" s="112"/>
      <c r="I53" s="133">
        <v>14.1</v>
      </c>
      <c r="J53" s="73"/>
      <c r="K53" s="73"/>
      <c r="L53" s="73"/>
      <c r="M53" s="73"/>
      <c r="N53" s="73"/>
      <c r="O53" s="73"/>
      <c r="P53" s="73"/>
      <c r="Q53" s="73"/>
      <c r="U53" s="161"/>
      <c r="V53" s="172"/>
      <c r="W53" s="5"/>
    </row>
    <row r="54" spans="1:23">
      <c r="A54" s="85" t="s">
        <v>90</v>
      </c>
      <c r="B54" s="77" t="s">
        <v>112</v>
      </c>
      <c r="C54" s="77"/>
      <c r="D54" s="77"/>
      <c r="E54" s="77"/>
      <c r="F54" s="77"/>
      <c r="G54" s="77" t="s">
        <v>92</v>
      </c>
      <c r="H54" s="77"/>
      <c r="I54" s="132">
        <v>3</v>
      </c>
      <c r="J54" s="73"/>
      <c r="K54" s="73"/>
      <c r="L54" s="73"/>
      <c r="M54" s="73"/>
      <c r="N54" s="73"/>
      <c r="O54" s="73"/>
      <c r="P54" s="73"/>
      <c r="Q54" s="73"/>
      <c r="U54" s="173">
        <f>U47-O44</f>
        <v>0.00373174044286628</v>
      </c>
      <c r="V54" s="173">
        <f>V47-P44</f>
        <v>0</v>
      </c>
      <c r="W54" s="173">
        <f>W47-Q44</f>
        <v>0.0138212608995048</v>
      </c>
    </row>
    <row r="55" spans="1:17">
      <c r="A55" s="85" t="s">
        <v>93</v>
      </c>
      <c r="B55" s="77" t="s">
        <v>94</v>
      </c>
      <c r="C55" s="77"/>
      <c r="D55" s="77"/>
      <c r="E55" s="77"/>
      <c r="F55" s="77"/>
      <c r="G55" s="77" t="s">
        <v>95</v>
      </c>
      <c r="H55" s="77"/>
      <c r="I55" s="77" t="s">
        <v>78</v>
      </c>
      <c r="J55" s="73"/>
      <c r="K55" s="73"/>
      <c r="L55" s="73"/>
      <c r="M55" s="73"/>
      <c r="N55" s="73"/>
      <c r="O55" s="73"/>
      <c r="P55" s="73"/>
      <c r="Q55" s="73"/>
    </row>
    <row r="56" spans="1:17">
      <c r="A56" s="70" t="s">
        <v>113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</row>
    <row r="58" ht="20.4" spans="1:17">
      <c r="A58" s="99" t="s">
        <v>114</v>
      </c>
      <c r="B58" s="100" t="s">
        <v>115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</row>
    <row r="59" spans="1:17">
      <c r="A59" s="65" t="s">
        <v>116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66"/>
    </row>
    <row r="60" ht="14.25" customHeight="1" spans="1:17">
      <c r="A60" s="102"/>
      <c r="B60" s="102"/>
      <c r="C60" s="56" t="s">
        <v>58</v>
      </c>
      <c r="D60" s="57"/>
      <c r="E60" s="57"/>
      <c r="F60" s="57"/>
      <c r="G60" s="57"/>
      <c r="H60" s="57"/>
      <c r="I60" s="57"/>
      <c r="J60" s="57"/>
      <c r="K60" s="105"/>
      <c r="L60" s="114" t="s">
        <v>117</v>
      </c>
      <c r="M60" s="136"/>
      <c r="N60" s="137"/>
      <c r="O60" s="139" t="s">
        <v>118</v>
      </c>
      <c r="P60" s="139" t="s">
        <v>119</v>
      </c>
      <c r="Q60" s="139" t="s">
        <v>120</v>
      </c>
    </row>
    <row r="61" spans="1:17">
      <c r="A61" s="102"/>
      <c r="B61" s="102"/>
      <c r="C61" s="56">
        <v>10</v>
      </c>
      <c r="D61" s="57"/>
      <c r="E61" s="105"/>
      <c r="F61" s="106">
        <v>20</v>
      </c>
      <c r="G61" s="106"/>
      <c r="H61" s="106"/>
      <c r="I61" s="106">
        <v>40</v>
      </c>
      <c r="J61" s="106"/>
      <c r="K61" s="106"/>
      <c r="L61" s="115"/>
      <c r="M61" s="140"/>
      <c r="N61" s="141"/>
      <c r="O61" s="162"/>
      <c r="P61" s="143"/>
      <c r="Q61" s="143"/>
    </row>
    <row r="62" spans="1:17">
      <c r="A62" s="60" t="s">
        <v>63</v>
      </c>
      <c r="B62" s="60"/>
      <c r="C62" s="61">
        <v>13</v>
      </c>
      <c r="D62" s="61">
        <v>14</v>
      </c>
      <c r="E62" s="61">
        <v>15</v>
      </c>
      <c r="F62" s="61">
        <v>16</v>
      </c>
      <c r="G62" s="61">
        <v>17</v>
      </c>
      <c r="H62" s="61">
        <v>18</v>
      </c>
      <c r="I62" s="61">
        <v>19</v>
      </c>
      <c r="J62" s="61">
        <v>20</v>
      </c>
      <c r="K62" s="61">
        <v>21</v>
      </c>
      <c r="L62" s="116">
        <v>1</v>
      </c>
      <c r="M62" s="116">
        <v>2</v>
      </c>
      <c r="N62" s="116">
        <v>3</v>
      </c>
      <c r="O62" s="106"/>
      <c r="P62" s="106"/>
      <c r="Q62" s="106"/>
    </row>
    <row r="63" spans="1:17">
      <c r="A63" s="60" t="s">
        <v>64</v>
      </c>
      <c r="B63" s="61">
        <v>1</v>
      </c>
      <c r="C63" s="103">
        <v>82.6</v>
      </c>
      <c r="D63" s="103">
        <v>80.5</v>
      </c>
      <c r="E63" s="103">
        <v>81.7</v>
      </c>
      <c r="F63" s="103">
        <v>82.3</v>
      </c>
      <c r="G63" s="103">
        <v>83.9</v>
      </c>
      <c r="H63" s="103">
        <v>82.2</v>
      </c>
      <c r="I63" s="103">
        <v>82</v>
      </c>
      <c r="J63" s="103">
        <v>81.1</v>
      </c>
      <c r="K63" s="103">
        <v>80.9</v>
      </c>
      <c r="L63" s="134">
        <f>C69</f>
        <v>20.2680767472702</v>
      </c>
      <c r="M63" s="134">
        <f>F69</f>
        <v>22.3033075905523</v>
      </c>
      <c r="N63" s="134">
        <f>I69</f>
        <v>21.1758187527051</v>
      </c>
      <c r="O63" s="134">
        <f>(L63*3+M63*3+N63*2)/8</f>
        <v>21.2582238148597</v>
      </c>
      <c r="P63" s="163">
        <v>25.45</v>
      </c>
      <c r="Q63" s="134">
        <f>O63/P63*100</f>
        <v>83.5293666595666</v>
      </c>
    </row>
    <row r="64" spans="1:17">
      <c r="A64" s="60" t="s">
        <v>65</v>
      </c>
      <c r="B64" s="61">
        <v>2</v>
      </c>
      <c r="C64" s="104">
        <v>71.3</v>
      </c>
      <c r="D64" s="104">
        <v>69.6</v>
      </c>
      <c r="E64" s="104">
        <v>70.7</v>
      </c>
      <c r="F64" s="104">
        <v>70</v>
      </c>
      <c r="G64" s="104">
        <v>71.5</v>
      </c>
      <c r="H64" s="104">
        <v>70.1</v>
      </c>
      <c r="I64" s="104">
        <v>70.5</v>
      </c>
      <c r="J64" s="104">
        <v>69.5</v>
      </c>
      <c r="K64" s="104">
        <v>69.4</v>
      </c>
      <c r="L64" s="135"/>
      <c r="M64" s="135"/>
      <c r="N64" s="135"/>
      <c r="O64" s="135"/>
      <c r="P64" s="164"/>
      <c r="Q64" s="135"/>
    </row>
    <row r="65" spans="1:23">
      <c r="A65" s="60" t="s">
        <v>66</v>
      </c>
      <c r="B65" s="61">
        <v>3</v>
      </c>
      <c r="C65" s="107">
        <v>16.1</v>
      </c>
      <c r="D65" s="107">
        <v>15.8</v>
      </c>
      <c r="E65" s="107">
        <v>15.9</v>
      </c>
      <c r="F65" s="107">
        <v>15.4</v>
      </c>
      <c r="G65" s="107">
        <v>15.9</v>
      </c>
      <c r="H65" s="107">
        <v>15.3</v>
      </c>
      <c r="I65" s="107">
        <v>15.8</v>
      </c>
      <c r="J65" s="107">
        <v>14.7</v>
      </c>
      <c r="K65" s="107">
        <v>15.5</v>
      </c>
      <c r="L65" s="135"/>
      <c r="M65" s="135"/>
      <c r="N65" s="135"/>
      <c r="O65" s="135"/>
      <c r="P65" s="164"/>
      <c r="Q65" s="135"/>
      <c r="U65" s="7" t="s">
        <v>68</v>
      </c>
      <c r="V65" s="7"/>
      <c r="W65" s="7"/>
    </row>
    <row r="66" spans="1:23">
      <c r="A66" s="61" t="s">
        <v>69</v>
      </c>
      <c r="B66" s="61" t="s">
        <v>70</v>
      </c>
      <c r="C66" s="107">
        <f t="shared" ref="C66:K66" si="9">C64-C65</f>
        <v>55.2</v>
      </c>
      <c r="D66" s="107">
        <f t="shared" si="9"/>
        <v>53.8</v>
      </c>
      <c r="E66" s="107">
        <f t="shared" si="9"/>
        <v>54.8</v>
      </c>
      <c r="F66" s="107">
        <f t="shared" si="9"/>
        <v>54.6</v>
      </c>
      <c r="G66" s="107">
        <f t="shared" si="9"/>
        <v>55.6</v>
      </c>
      <c r="H66" s="107">
        <f t="shared" si="9"/>
        <v>54.8</v>
      </c>
      <c r="I66" s="107">
        <f t="shared" si="9"/>
        <v>54.7</v>
      </c>
      <c r="J66" s="107">
        <f t="shared" si="9"/>
        <v>54.8</v>
      </c>
      <c r="K66" s="107">
        <f t="shared" si="9"/>
        <v>53.9</v>
      </c>
      <c r="L66" s="135"/>
      <c r="M66" s="135"/>
      <c r="N66" s="135"/>
      <c r="O66" s="135"/>
      <c r="P66" s="164"/>
      <c r="Q66" s="135"/>
      <c r="R66" s="182">
        <v>20.3</v>
      </c>
      <c r="S66" s="182">
        <v>22.3</v>
      </c>
      <c r="T66" s="182">
        <v>21.2</v>
      </c>
      <c r="U66" s="161">
        <f>(3*R66+3*S66+2*T66)/8</f>
        <v>21.275</v>
      </c>
      <c r="V66" s="172">
        <f>P63</f>
        <v>25.45</v>
      </c>
      <c r="W66" s="5">
        <f>U66/V66*100</f>
        <v>83.5952848722986</v>
      </c>
    </row>
    <row r="67" spans="1:23">
      <c r="A67" s="61" t="s">
        <v>71</v>
      </c>
      <c r="B67" s="61" t="s">
        <v>72</v>
      </c>
      <c r="C67" s="107">
        <f t="shared" ref="C67:K67" si="10">C63-C64</f>
        <v>11.3</v>
      </c>
      <c r="D67" s="107">
        <f t="shared" si="10"/>
        <v>10.9</v>
      </c>
      <c r="E67" s="107">
        <f t="shared" si="10"/>
        <v>11</v>
      </c>
      <c r="F67" s="107">
        <f t="shared" si="10"/>
        <v>12.3</v>
      </c>
      <c r="G67" s="107">
        <f t="shared" si="10"/>
        <v>12.4</v>
      </c>
      <c r="H67" s="107">
        <f t="shared" si="10"/>
        <v>12.1</v>
      </c>
      <c r="I67" s="107">
        <f t="shared" si="10"/>
        <v>11.5</v>
      </c>
      <c r="J67" s="107">
        <f t="shared" si="10"/>
        <v>11.6</v>
      </c>
      <c r="K67" s="107">
        <f t="shared" si="10"/>
        <v>11.5</v>
      </c>
      <c r="L67" s="135"/>
      <c r="M67" s="135"/>
      <c r="N67" s="135"/>
      <c r="O67" s="135"/>
      <c r="P67" s="164"/>
      <c r="Q67" s="135"/>
      <c r="U67" s="161"/>
      <c r="V67" s="172"/>
      <c r="W67" s="5"/>
    </row>
    <row r="68" spans="1:23">
      <c r="A68" s="61" t="s">
        <v>73</v>
      </c>
      <c r="B68" s="174" t="s">
        <v>74</v>
      </c>
      <c r="C68" s="107">
        <f t="shared" ref="C68:K68" si="11">C67/C66*100</f>
        <v>20.4710144927536</v>
      </c>
      <c r="D68" s="107">
        <f t="shared" si="11"/>
        <v>20.2602230483271</v>
      </c>
      <c r="E68" s="107">
        <f t="shared" si="11"/>
        <v>20.0729927007299</v>
      </c>
      <c r="F68" s="107">
        <f t="shared" si="11"/>
        <v>22.5274725274725</v>
      </c>
      <c r="G68" s="107">
        <f t="shared" si="11"/>
        <v>22.3021582733813</v>
      </c>
      <c r="H68" s="107">
        <f t="shared" si="11"/>
        <v>22.0802919708029</v>
      </c>
      <c r="I68" s="107">
        <f t="shared" si="11"/>
        <v>21.0237659963437</v>
      </c>
      <c r="J68" s="107">
        <f t="shared" si="11"/>
        <v>21.1678832116788</v>
      </c>
      <c r="K68" s="107">
        <f t="shared" si="11"/>
        <v>21.3358070500928</v>
      </c>
      <c r="L68" s="135"/>
      <c r="M68" s="135"/>
      <c r="N68" s="135"/>
      <c r="O68" s="135"/>
      <c r="P68" s="164"/>
      <c r="Q68" s="135"/>
      <c r="U68" s="161"/>
      <c r="V68" s="172"/>
      <c r="W68" s="5"/>
    </row>
    <row r="69" spans="1:23">
      <c r="A69" s="65" t="s">
        <v>75</v>
      </c>
      <c r="B69" s="66"/>
      <c r="C69" s="175">
        <f>(C68+D68+E68)/3</f>
        <v>20.2680767472702</v>
      </c>
      <c r="D69" s="176"/>
      <c r="E69" s="177"/>
      <c r="F69" s="175">
        <f>(F68+G68+H68)/3</f>
        <v>22.3033075905523</v>
      </c>
      <c r="G69" s="176"/>
      <c r="H69" s="177"/>
      <c r="I69" s="175">
        <f>(I68+J68+K68)/3</f>
        <v>21.1758187527051</v>
      </c>
      <c r="J69" s="176"/>
      <c r="K69" s="177"/>
      <c r="L69" s="178"/>
      <c r="M69" s="178"/>
      <c r="N69" s="178"/>
      <c r="O69" s="178"/>
      <c r="P69" s="181"/>
      <c r="Q69" s="178"/>
      <c r="U69" s="161"/>
      <c r="V69" s="172"/>
      <c r="W69" s="5"/>
    </row>
    <row r="70" ht="14.25" customHeight="1" spans="1:23">
      <c r="A70" s="61" t="s">
        <v>76</v>
      </c>
      <c r="B70" s="61" t="s">
        <v>15</v>
      </c>
      <c r="C70" s="61"/>
      <c r="D70" s="61"/>
      <c r="E70" s="61"/>
      <c r="F70" s="61"/>
      <c r="G70" s="108" t="s">
        <v>77</v>
      </c>
      <c r="H70" s="109"/>
      <c r="I70" s="118"/>
      <c r="J70" s="61" t="s">
        <v>79</v>
      </c>
      <c r="K70" s="61"/>
      <c r="L70" s="56" t="s">
        <v>80</v>
      </c>
      <c r="M70" s="105"/>
      <c r="N70" s="147"/>
      <c r="O70" s="53"/>
      <c r="P70" s="53"/>
      <c r="Q70" s="165"/>
      <c r="U70" s="161"/>
      <c r="V70" s="172"/>
      <c r="W70" s="5"/>
    </row>
    <row r="71" ht="14.25" customHeight="1" spans="1:23">
      <c r="A71" s="61" t="s">
        <v>82</v>
      </c>
      <c r="B71" s="61" t="s">
        <v>83</v>
      </c>
      <c r="C71" s="61"/>
      <c r="D71" s="61"/>
      <c r="E71" s="61"/>
      <c r="F71" s="61"/>
      <c r="G71" s="108" t="s">
        <v>84</v>
      </c>
      <c r="H71" s="109"/>
      <c r="I71" s="179">
        <v>12.8</v>
      </c>
      <c r="J71" s="180" t="s">
        <v>121</v>
      </c>
      <c r="K71" s="180"/>
      <c r="L71" s="120" t="s">
        <v>122</v>
      </c>
      <c r="M71" s="106"/>
      <c r="N71" s="120" t="s">
        <v>87</v>
      </c>
      <c r="O71" s="106"/>
      <c r="P71" s="106"/>
      <c r="Q71" s="106"/>
      <c r="U71" s="161"/>
      <c r="V71" s="172"/>
      <c r="W71" s="5"/>
    </row>
    <row r="72" ht="34" spans="1:23">
      <c r="A72" s="67" t="s">
        <v>88</v>
      </c>
      <c r="B72" s="68" t="s">
        <v>87</v>
      </c>
      <c r="C72" s="68"/>
      <c r="D72" s="68"/>
      <c r="E72" s="68"/>
      <c r="F72" s="61"/>
      <c r="G72" s="108" t="s">
        <v>123</v>
      </c>
      <c r="H72" s="109"/>
      <c r="I72" s="107">
        <v>29.2</v>
      </c>
      <c r="J72" s="180"/>
      <c r="K72" s="180"/>
      <c r="L72" s="106"/>
      <c r="M72" s="106"/>
      <c r="N72" s="106"/>
      <c r="O72" s="106"/>
      <c r="P72" s="106"/>
      <c r="Q72" s="106"/>
      <c r="U72" s="161"/>
      <c r="V72" s="172"/>
      <c r="W72" s="5"/>
    </row>
    <row r="73" spans="1:23">
      <c r="A73" s="67" t="s">
        <v>90</v>
      </c>
      <c r="B73" s="61" t="s">
        <v>91</v>
      </c>
      <c r="C73" s="61"/>
      <c r="D73" s="61"/>
      <c r="E73" s="61"/>
      <c r="F73" s="61"/>
      <c r="G73" s="61" t="s">
        <v>92</v>
      </c>
      <c r="H73" s="61"/>
      <c r="I73" s="61">
        <v>3</v>
      </c>
      <c r="J73" s="180"/>
      <c r="K73" s="180"/>
      <c r="L73" s="106"/>
      <c r="M73" s="106"/>
      <c r="N73" s="106"/>
      <c r="O73" s="106"/>
      <c r="P73" s="106"/>
      <c r="Q73" s="106"/>
      <c r="U73" s="173">
        <f>U66-O63</f>
        <v>0.0167761851402979</v>
      </c>
      <c r="V73" s="173">
        <f>V66-P63</f>
        <v>0</v>
      </c>
      <c r="W73" s="173">
        <f>W66-Q63</f>
        <v>0.065918212732015</v>
      </c>
    </row>
    <row r="74" spans="1:17">
      <c r="A74" s="67" t="s">
        <v>93</v>
      </c>
      <c r="B74" s="61" t="s">
        <v>124</v>
      </c>
      <c r="C74" s="61"/>
      <c r="D74" s="61"/>
      <c r="E74" s="61"/>
      <c r="F74" s="61"/>
      <c r="G74" s="61" t="s">
        <v>95</v>
      </c>
      <c r="H74" s="61"/>
      <c r="I74" s="61"/>
      <c r="J74" s="180"/>
      <c r="K74" s="180"/>
      <c r="L74" s="106"/>
      <c r="M74" s="106"/>
      <c r="N74" s="106"/>
      <c r="O74" s="106"/>
      <c r="P74" s="106"/>
      <c r="Q74" s="106"/>
    </row>
    <row r="75" spans="1:17">
      <c r="A75" s="69" t="s">
        <v>125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</row>
  </sheetData>
  <mergeCells count="169">
    <mergeCell ref="A1:Q1"/>
    <mergeCell ref="A2:Q2"/>
    <mergeCell ref="C3:K3"/>
    <mergeCell ref="C4:E4"/>
    <mergeCell ref="F4:H4"/>
    <mergeCell ref="I4:K4"/>
    <mergeCell ref="R8:T8"/>
    <mergeCell ref="U8:W8"/>
    <mergeCell ref="A12:B12"/>
    <mergeCell ref="C12:E12"/>
    <mergeCell ref="F12:H12"/>
    <mergeCell ref="I12:K12"/>
    <mergeCell ref="B13:F13"/>
    <mergeCell ref="G13:H13"/>
    <mergeCell ref="J13:K13"/>
    <mergeCell ref="L13:M13"/>
    <mergeCell ref="N13:Q13"/>
    <mergeCell ref="B14:F14"/>
    <mergeCell ref="G14:H14"/>
    <mergeCell ref="B15:F15"/>
    <mergeCell ref="G15:H15"/>
    <mergeCell ref="B16:F16"/>
    <mergeCell ref="G16:H16"/>
    <mergeCell ref="B17:F17"/>
    <mergeCell ref="G17:H17"/>
    <mergeCell ref="A18:Q18"/>
    <mergeCell ref="A20:Q20"/>
    <mergeCell ref="A21:Q21"/>
    <mergeCell ref="C22:K22"/>
    <mergeCell ref="C23:E23"/>
    <mergeCell ref="F23:H23"/>
    <mergeCell ref="I23:K23"/>
    <mergeCell ref="U27:W27"/>
    <mergeCell ref="A31:B31"/>
    <mergeCell ref="C31:E31"/>
    <mergeCell ref="F31:H31"/>
    <mergeCell ref="I31:K31"/>
    <mergeCell ref="B32:F32"/>
    <mergeCell ref="G32:H32"/>
    <mergeCell ref="J32:K32"/>
    <mergeCell ref="L32:M32"/>
    <mergeCell ref="N32:Q32"/>
    <mergeCell ref="B33:F33"/>
    <mergeCell ref="G33:H33"/>
    <mergeCell ref="B34:F34"/>
    <mergeCell ref="G34:H34"/>
    <mergeCell ref="B35:F35"/>
    <mergeCell ref="G35:H35"/>
    <mergeCell ref="B36:F36"/>
    <mergeCell ref="G36:H36"/>
    <mergeCell ref="A37:Q37"/>
    <mergeCell ref="A39:Q39"/>
    <mergeCell ref="A40:Q40"/>
    <mergeCell ref="C41:K41"/>
    <mergeCell ref="C42:E42"/>
    <mergeCell ref="F42:H42"/>
    <mergeCell ref="I42:K42"/>
    <mergeCell ref="U46:W46"/>
    <mergeCell ref="A50:B50"/>
    <mergeCell ref="C50:E50"/>
    <mergeCell ref="F50:H50"/>
    <mergeCell ref="I50:K50"/>
    <mergeCell ref="B51:F51"/>
    <mergeCell ref="G51:H51"/>
    <mergeCell ref="J51:K51"/>
    <mergeCell ref="L51:M51"/>
    <mergeCell ref="N51:Q51"/>
    <mergeCell ref="B52:F52"/>
    <mergeCell ref="G52:H52"/>
    <mergeCell ref="B53:F53"/>
    <mergeCell ref="G53:H53"/>
    <mergeCell ref="B54:F54"/>
    <mergeCell ref="G54:H54"/>
    <mergeCell ref="B55:F55"/>
    <mergeCell ref="G55:H55"/>
    <mergeCell ref="A56:Q56"/>
    <mergeCell ref="B58:Q58"/>
    <mergeCell ref="A59:Q59"/>
    <mergeCell ref="C60:K60"/>
    <mergeCell ref="C61:E61"/>
    <mergeCell ref="F61:H61"/>
    <mergeCell ref="I61:K61"/>
    <mergeCell ref="U65:W65"/>
    <mergeCell ref="A69:B69"/>
    <mergeCell ref="C69:E69"/>
    <mergeCell ref="F69:H69"/>
    <mergeCell ref="I69:K69"/>
    <mergeCell ref="B70:F70"/>
    <mergeCell ref="G70:H70"/>
    <mergeCell ref="J70:K70"/>
    <mergeCell ref="L70:M70"/>
    <mergeCell ref="N70:Q70"/>
    <mergeCell ref="B71:F71"/>
    <mergeCell ref="G71:H71"/>
    <mergeCell ref="B72:F72"/>
    <mergeCell ref="G72:H72"/>
    <mergeCell ref="B73:F73"/>
    <mergeCell ref="G73:H73"/>
    <mergeCell ref="B74:F74"/>
    <mergeCell ref="G74:H74"/>
    <mergeCell ref="A75:Q75"/>
    <mergeCell ref="L6:L12"/>
    <mergeCell ref="L25:L31"/>
    <mergeCell ref="L44:L50"/>
    <mergeCell ref="L63:L69"/>
    <mergeCell ref="M6:M12"/>
    <mergeCell ref="M25:M31"/>
    <mergeCell ref="M44:M50"/>
    <mergeCell ref="M63:M69"/>
    <mergeCell ref="N6:N12"/>
    <mergeCell ref="N25:N31"/>
    <mergeCell ref="N44:N50"/>
    <mergeCell ref="N63:N69"/>
    <mergeCell ref="O3:O4"/>
    <mergeCell ref="O6:O12"/>
    <mergeCell ref="O22:O23"/>
    <mergeCell ref="O25:O31"/>
    <mergeCell ref="O41:O42"/>
    <mergeCell ref="O44:O50"/>
    <mergeCell ref="O60:O61"/>
    <mergeCell ref="O63:O69"/>
    <mergeCell ref="P3:P4"/>
    <mergeCell ref="P6:P12"/>
    <mergeCell ref="P22:P23"/>
    <mergeCell ref="P25:P31"/>
    <mergeCell ref="P41:P42"/>
    <mergeCell ref="P44:P50"/>
    <mergeCell ref="P60:P61"/>
    <mergeCell ref="P63:P69"/>
    <mergeCell ref="Q3:Q4"/>
    <mergeCell ref="Q6:Q12"/>
    <mergeCell ref="Q22:Q23"/>
    <mergeCell ref="Q25:Q31"/>
    <mergeCell ref="Q41:Q42"/>
    <mergeCell ref="Q44:Q50"/>
    <mergeCell ref="Q60:Q61"/>
    <mergeCell ref="Q63:Q69"/>
    <mergeCell ref="U9:U15"/>
    <mergeCell ref="U28:U34"/>
    <mergeCell ref="U47:U53"/>
    <mergeCell ref="U66:U72"/>
    <mergeCell ref="V9:V15"/>
    <mergeCell ref="V28:V34"/>
    <mergeCell ref="V47:V53"/>
    <mergeCell ref="V66:V72"/>
    <mergeCell ref="W9:W15"/>
    <mergeCell ref="W28:W34"/>
    <mergeCell ref="W47:W53"/>
    <mergeCell ref="W66:W72"/>
    <mergeCell ref="A3:B4"/>
    <mergeCell ref="L3:N4"/>
    <mergeCell ref="J14:K17"/>
    <mergeCell ref="L14:M17"/>
    <mergeCell ref="N14:Q17"/>
    <mergeCell ref="A22:B23"/>
    <mergeCell ref="L22:N23"/>
    <mergeCell ref="J33:K36"/>
    <mergeCell ref="L33:M36"/>
    <mergeCell ref="N33:Q36"/>
    <mergeCell ref="A41:B42"/>
    <mergeCell ref="L41:N42"/>
    <mergeCell ref="J52:K55"/>
    <mergeCell ref="L52:M55"/>
    <mergeCell ref="N52:Q55"/>
    <mergeCell ref="A60:B61"/>
    <mergeCell ref="L60:N61"/>
    <mergeCell ref="J71:K74"/>
    <mergeCell ref="L71:M74"/>
    <mergeCell ref="N71:Q74"/>
  </mergeCells>
  <pageMargins left="0.42" right="0.16" top="0.984251968503937" bottom="0.984251968503937" header="0.511811023622047" footer="0.511811023622047"/>
  <pageSetup paperSize="9" orientation="landscape" horizontalDpi="600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zoomScaleSheetLayoutView="60" workbookViewId="0">
      <selection activeCell="H14" sqref="H14"/>
    </sheetView>
  </sheetViews>
  <sheetFormatPr defaultColWidth="9" defaultRowHeight="17.6"/>
  <cols>
    <col min="1" max="1" width="9" customWidth="1"/>
    <col min="2" max="4" width="3.875" customWidth="1"/>
    <col min="5" max="5" width="6.625" customWidth="1"/>
    <col min="6" max="6" width="4.875" customWidth="1"/>
    <col min="7" max="7" width="4.625" customWidth="1"/>
    <col min="8" max="8" width="5.125" customWidth="1"/>
    <col min="9" max="9" width="4" customWidth="1"/>
    <col min="10" max="12" width="5.875" customWidth="1"/>
    <col min="13" max="13" width="5.625" customWidth="1"/>
    <col min="14" max="14" width="6.5" customWidth="1"/>
    <col min="15" max="15" width="6.875" customWidth="1"/>
    <col min="16" max="16" width="3.625" customWidth="1"/>
    <col min="17" max="17" width="7.625" customWidth="1"/>
    <col min="18" max="18" width="7.125" customWidth="1"/>
    <col min="19" max="19" width="6.625" customWidth="1"/>
    <col min="20" max="20" width="3.375" customWidth="1"/>
    <col min="21" max="21" width="3.125" customWidth="1"/>
    <col min="22" max="22" width="4.375" customWidth="1"/>
    <col min="23" max="23" width="6.5" customWidth="1"/>
    <col min="24" max="24" width="5.625" customWidth="1"/>
    <col min="25" max="25" width="5" customWidth="1"/>
  </cols>
  <sheetData>
    <row r="1" ht="52.5" customHeight="1" spans="1:25">
      <c r="A1" s="12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75.75" customHeight="1" spans="1:25">
      <c r="A2" s="14" t="s">
        <v>24</v>
      </c>
      <c r="B2" s="15" t="s">
        <v>25</v>
      </c>
      <c r="C2" s="16" t="s">
        <v>26</v>
      </c>
      <c r="D2" s="16"/>
      <c r="E2" s="16"/>
      <c r="F2" s="27" t="s">
        <v>27</v>
      </c>
      <c r="G2" s="28"/>
      <c r="H2" s="28"/>
      <c r="I2" s="28"/>
      <c r="J2" s="28"/>
      <c r="K2" s="28"/>
      <c r="L2" s="28"/>
      <c r="M2" s="38"/>
      <c r="N2" s="15" t="s">
        <v>28</v>
      </c>
      <c r="O2" s="15" t="s">
        <v>29</v>
      </c>
      <c r="P2" s="15" t="s">
        <v>30</v>
      </c>
      <c r="Q2" s="15" t="s">
        <v>31</v>
      </c>
      <c r="R2" s="40" t="s">
        <v>126</v>
      </c>
      <c r="S2" t="s">
        <v>127</v>
      </c>
      <c r="T2" t="s">
        <v>34</v>
      </c>
      <c r="V2" s="16" t="s">
        <v>35</v>
      </c>
      <c r="W2" s="16"/>
      <c r="X2" s="16"/>
      <c r="Y2" s="15" t="s">
        <v>36</v>
      </c>
    </row>
    <row r="3" ht="35.45" customHeight="1" spans="1:25">
      <c r="A3" s="17"/>
      <c r="B3" s="18"/>
      <c r="C3" s="19" t="s">
        <v>37</v>
      </c>
      <c r="D3" s="19" t="s">
        <v>38</v>
      </c>
      <c r="E3" s="19" t="s">
        <v>39</v>
      </c>
      <c r="F3" s="27" t="s">
        <v>40</v>
      </c>
      <c r="G3" s="29"/>
      <c r="H3" s="29"/>
      <c r="I3" s="34"/>
      <c r="J3" s="27" t="s">
        <v>41</v>
      </c>
      <c r="K3" s="29"/>
      <c r="L3" s="29"/>
      <c r="M3" s="34"/>
      <c r="N3" s="18"/>
      <c r="O3" s="18"/>
      <c r="P3" s="18"/>
      <c r="Q3" s="18"/>
      <c r="R3" s="41"/>
      <c r="T3" t="s">
        <v>37</v>
      </c>
      <c r="U3" t="s">
        <v>38</v>
      </c>
      <c r="V3" s="45" t="s">
        <v>42</v>
      </c>
      <c r="W3" s="15" t="s">
        <v>43</v>
      </c>
      <c r="X3" s="15" t="s">
        <v>44</v>
      </c>
      <c r="Y3" s="18"/>
    </row>
    <row r="4" ht="35.45" customHeight="1" spans="1:25">
      <c r="A4" s="2"/>
      <c r="B4" s="2"/>
      <c r="C4" s="20"/>
      <c r="D4" s="20"/>
      <c r="E4" s="20"/>
      <c r="F4" s="30" t="s">
        <v>45</v>
      </c>
      <c r="G4" s="30" t="s">
        <v>46</v>
      </c>
      <c r="H4" s="30" t="s">
        <v>47</v>
      </c>
      <c r="I4" s="30" t="s">
        <v>48</v>
      </c>
      <c r="J4" s="35" t="s">
        <v>45</v>
      </c>
      <c r="K4" s="35" t="s">
        <v>46</v>
      </c>
      <c r="L4" s="35" t="s">
        <v>47</v>
      </c>
      <c r="M4" s="35" t="s">
        <v>48</v>
      </c>
      <c r="N4" s="2"/>
      <c r="O4" s="2"/>
      <c r="P4" s="2"/>
      <c r="Q4" s="2"/>
      <c r="R4" s="42"/>
      <c r="V4" s="46"/>
      <c r="W4" s="47"/>
      <c r="X4" s="47"/>
      <c r="Y4" s="2"/>
    </row>
    <row r="5" s="11" customFormat="1" ht="35.4" customHeight="1" spans="1:25">
      <c r="A5" s="21" t="s">
        <v>53</v>
      </c>
      <c r="B5" s="22">
        <v>13</v>
      </c>
      <c r="C5" s="22">
        <v>5</v>
      </c>
      <c r="D5" s="22">
        <v>10</v>
      </c>
      <c r="E5" s="31">
        <v>0.333333333333333</v>
      </c>
      <c r="F5" s="32"/>
      <c r="G5" s="33"/>
      <c r="H5" s="33"/>
      <c r="I5" s="36"/>
      <c r="J5" s="37">
        <f>[1]恒口!L6</f>
        <v>20.2680767472702</v>
      </c>
      <c r="K5" s="37">
        <f>[1]恒口!M6</f>
        <v>22.3033075905523</v>
      </c>
      <c r="L5" s="37">
        <f>[1]恒口!N6</f>
        <v>21.1758187527051</v>
      </c>
      <c r="M5" s="37">
        <f>[1]恒口!O6</f>
        <v>21.2582238148597</v>
      </c>
      <c r="N5" s="37">
        <f>[1]恒口!P6</f>
        <v>25.45</v>
      </c>
      <c r="O5" s="37">
        <f>[1]恒口!Q6</f>
        <v>83.5293666595666</v>
      </c>
      <c r="P5" s="39">
        <f>[1]恒口!I16</f>
        <v>3</v>
      </c>
      <c r="Q5" s="43">
        <f>[1]恒口!I14</f>
        <v>12.8</v>
      </c>
      <c r="R5" s="44">
        <v>1.82</v>
      </c>
      <c r="S5" s="11">
        <v>29.2</v>
      </c>
      <c r="V5" s="48" t="str">
        <f>[1]恒口!B13</f>
        <v>蔬菜</v>
      </c>
      <c r="W5" s="48" t="str">
        <f>[1]恒口!B14</f>
        <v>成长期</v>
      </c>
      <c r="X5" s="48" t="s">
        <v>87</v>
      </c>
      <c r="Y5" s="49"/>
    </row>
    <row r="6" ht="35.45" customHeight="1" spans="1:25">
      <c r="A6" s="23" t="s">
        <v>54</v>
      </c>
      <c r="B6" s="24" t="s">
        <v>128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50"/>
    </row>
    <row r="7" ht="20.4" spans="1:25">
      <c r="A7" s="26" t="s">
        <v>129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12" spans="17:17">
      <c r="Q12" t="s">
        <v>130</v>
      </c>
    </row>
  </sheetData>
  <mergeCells count="23">
    <mergeCell ref="A1:Y1"/>
    <mergeCell ref="C2:E2"/>
    <mergeCell ref="F2:M2"/>
    <mergeCell ref="V2:X2"/>
    <mergeCell ref="F3:I3"/>
    <mergeCell ref="J3:M3"/>
    <mergeCell ref="F5:I5"/>
    <mergeCell ref="B6:Y6"/>
    <mergeCell ref="A7:Y7"/>
    <mergeCell ref="A2:A4"/>
    <mergeCell ref="B2:B4"/>
    <mergeCell ref="C3:C4"/>
    <mergeCell ref="D3:D4"/>
    <mergeCell ref="E3:E4"/>
    <mergeCell ref="N2:N4"/>
    <mergeCell ref="O2:O4"/>
    <mergeCell ref="P2:P4"/>
    <mergeCell ref="Q2:Q4"/>
    <mergeCell ref="R2:R4"/>
    <mergeCell ref="V3:V4"/>
    <mergeCell ref="W3:W4"/>
    <mergeCell ref="X3:X4"/>
    <mergeCell ref="Y2:Y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SheetLayoutView="60" workbookViewId="0">
      <selection activeCell="G4" sqref="G4"/>
    </sheetView>
  </sheetViews>
  <sheetFormatPr defaultColWidth="9.14285714285714" defaultRowHeight="17.6" outlineLevelRow="5" outlineLevelCol="5"/>
  <cols>
    <col min="2" max="3" width="18.625" style="7" customWidth="1"/>
  </cols>
  <sheetData>
    <row r="1" spans="2:3">
      <c r="B1" s="8" t="s">
        <v>131</v>
      </c>
      <c r="C1" s="8" t="s">
        <v>132</v>
      </c>
    </row>
    <row r="2" spans="2:3">
      <c r="B2" s="7" t="s">
        <v>133</v>
      </c>
      <c r="C2" s="7" t="s">
        <v>134</v>
      </c>
    </row>
    <row r="3" spans="1:3">
      <c r="A3" s="9" t="s">
        <v>135</v>
      </c>
      <c r="B3" s="7">
        <f>站上报送原始1!I15</f>
        <v>126</v>
      </c>
      <c r="C3" s="10">
        <f>86400*10*B3*0.00000001</f>
        <v>1.08864</v>
      </c>
    </row>
    <row r="4" spans="1:3">
      <c r="A4" s="9" t="s">
        <v>136</v>
      </c>
      <c r="B4" s="7">
        <f>站上报送原始1!I36</f>
        <v>6.33</v>
      </c>
      <c r="C4" s="10">
        <f>86400*10*B4*0.00000001</f>
        <v>0.0546912</v>
      </c>
    </row>
    <row r="5" spans="1:6">
      <c r="A5" s="9" t="s">
        <v>19</v>
      </c>
      <c r="B5" s="7">
        <f>站上报送原始1!I53</f>
        <v>14.1</v>
      </c>
      <c r="C5" s="10">
        <f>86400*10*B5*0.00000001</f>
        <v>0.121824</v>
      </c>
      <c r="F5" s="10"/>
    </row>
    <row r="6" spans="1:3">
      <c r="A6" s="9" t="s">
        <v>137</v>
      </c>
      <c r="B6" s="7">
        <f>恒口原始2!R5</f>
        <v>1.82</v>
      </c>
      <c r="C6" s="10">
        <f>86400*10*B6*0.00000001</f>
        <v>0.0157248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SheetLayoutView="60" workbookViewId="0">
      <selection activeCell="C15" sqref="C15"/>
    </sheetView>
  </sheetViews>
  <sheetFormatPr defaultColWidth="9.14285714285714" defaultRowHeight="17.6" outlineLevelRow="6" outlineLevelCol="2"/>
  <cols>
    <col min="1" max="3" width="23.25" customWidth="1"/>
  </cols>
  <sheetData>
    <row r="1" spans="1:3">
      <c r="A1" s="1" t="s">
        <v>5</v>
      </c>
      <c r="B1" s="1" t="s">
        <v>6</v>
      </c>
      <c r="C1" s="1" t="s">
        <v>138</v>
      </c>
    </row>
    <row r="2" spans="1:3">
      <c r="A2" s="2"/>
      <c r="B2" s="2"/>
      <c r="C2" s="2"/>
    </row>
    <row r="3" spans="1:3">
      <c r="A3" s="3">
        <f>报水情科!F9-报勘测处!M5</f>
        <v>0</v>
      </c>
      <c r="B3" s="4">
        <f>报水情科!G9-报勘测处!N5</f>
        <v>0</v>
      </c>
      <c r="C3" s="5">
        <f>报水情科!H9-报勘测处!O5</f>
        <v>0</v>
      </c>
    </row>
    <row r="4" spans="1:3">
      <c r="A4" s="3">
        <f>报水情科!F10-报勘测处!M6</f>
        <v>0</v>
      </c>
      <c r="B4" s="4">
        <f>报水情科!G10-报勘测处!N6</f>
        <v>0</v>
      </c>
      <c r="C4" s="5">
        <f>报水情科!H10-报勘测处!O6</f>
        <v>0</v>
      </c>
    </row>
    <row r="5" spans="1:3">
      <c r="A5" s="3">
        <f>报水情科!F11-报勘测处!M7</f>
        <v>0</v>
      </c>
      <c r="B5" s="4">
        <f>报水情科!G11-报勘测处!N7</f>
        <v>0</v>
      </c>
      <c r="C5" s="5">
        <f>报水情科!H11-报勘测处!O7</f>
        <v>0</v>
      </c>
    </row>
    <row r="6" spans="1:3">
      <c r="A6" s="3">
        <f>报水情科!F12-报勘测处!M8</f>
        <v>0</v>
      </c>
      <c r="B6" s="4">
        <f>报水情科!G12-报勘测处!N8</f>
        <v>0</v>
      </c>
      <c r="C6" s="5">
        <f>报水情科!H12-报勘测处!O8</f>
        <v>0</v>
      </c>
    </row>
    <row r="7" spans="1:3">
      <c r="A7" s="6" t="s">
        <v>139</v>
      </c>
      <c r="B7" s="6"/>
      <c r="C7" s="6"/>
    </row>
  </sheetData>
  <mergeCells count="4">
    <mergeCell ref="A7:C7"/>
    <mergeCell ref="A1:A2"/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报水情科</vt:lpstr>
      <vt:lpstr>报勘测处</vt:lpstr>
      <vt:lpstr>站上报送原始1</vt:lpstr>
      <vt:lpstr>恒口原始2</vt:lpstr>
      <vt:lpstr>旬总流量计算</vt:lpstr>
      <vt:lpstr>对比检查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akswj</dc:creator>
  <cp:lastModifiedBy>沁阳公子</cp:lastModifiedBy>
  <dcterms:created xsi:type="dcterms:W3CDTF">2010-03-18T09:04:00Z</dcterms:created>
  <cp:lastPrinted>2024-03-06T08:23:00Z</cp:lastPrinted>
  <dcterms:modified xsi:type="dcterms:W3CDTF">2026-05-11T08:04:38Z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2052-6.9.0.8865</vt:lpwstr>
  </property>
  <property fmtid="{D5CDD505-2E9C-101B-9397-08002B2CF9AE}" pid="3" name="ICV">
    <vt:lpwstr>B94A1FC7A3096769D45CA668DA7C625F_43</vt:lpwstr>
  </property>
</Properties>
</file>